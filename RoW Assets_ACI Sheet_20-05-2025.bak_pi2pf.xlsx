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aeed Data\CM1006\"/>
    </mc:Choice>
  </mc:AlternateContent>
  <xr:revisionPtr revIDLastSave="0" documentId="13_ncr:1_{88A352E9-3542-4E5B-8594-7D8EA13B45C1}" xr6:coauthVersionLast="47" xr6:coauthVersionMax="47" xr10:uidLastSave="{00000000-0000-0000-0000-000000000000}"/>
  <bookViews>
    <workbookView xWindow="-120" yWindow="-120" windowWidth="29040" windowHeight="15720" tabRatio="807" xr2:uid="{FBDCB802-F6B5-45A2-BBB0-3912BFD1029B}"/>
  </bookViews>
  <sheets>
    <sheet name="ACI_Calculation Sheet" sheetId="44" r:id="rId1"/>
    <sheet name="Summary" sheetId="41" r:id="rId2"/>
    <sheet name="MANHOLE" sheetId="2" r:id="rId3"/>
    <sheet name="GULLY" sheetId="6" r:id="rId4"/>
    <sheet name="BOLLARDS" sheetId="5" r:id="rId5"/>
    <sheet name="DRAINAGE POINT" sheetId="3" r:id="rId6"/>
    <sheet name="CRASH CUSHION &amp; END TERMINAL" sheetId="4" r:id="rId7"/>
    <sheet name="CURBSTONE" sheetId="9" r:id="rId8"/>
    <sheet name="ROAD MARKING" sheetId="10" r:id="rId9"/>
    <sheet name="GUARDRAIL" sheetId="11" r:id="rId10"/>
    <sheet name="FENCE" sheetId="12" r:id="rId11"/>
    <sheet name="GANTRY" sheetId="13" r:id="rId12"/>
    <sheet name="BARRIER" sheetId="14" r:id="rId13"/>
    <sheet name="ROAD STUD" sheetId="15" r:id="rId14"/>
    <sheet name="FOOTPATH" sheetId="16" r:id="rId15"/>
    <sheet name="HUMP" sheetId="17" r:id="rId16"/>
    <sheet name="Pedestrian Crossing" sheetId="18" r:id="rId17"/>
    <sheet name="CAMEL GRID" sheetId="19" r:id="rId18"/>
    <sheet name="PERGOLA" sheetId="38" r:id="rId19"/>
    <sheet name="ROAD MARKING SYMBOL" sheetId="20" state="hidden" r:id="rId20"/>
    <sheet name="TRAFIC SIGNAL" sheetId="21" state="hidden" r:id="rId21"/>
    <sheet name="CONTROL CABINET" sheetId="22" state="hidden" r:id="rId22"/>
    <sheet name="STREETLIGHT" sheetId="23" state="hidden" r:id="rId23"/>
    <sheet name="PUBLIC SHED" sheetId="39" r:id="rId24"/>
    <sheet name="PARKING TENTS" sheetId="40" r:id="rId25"/>
    <sheet name="ROADSIDE CAMERA" sheetId="24" state="hidden" r:id="rId26"/>
    <sheet name="DECORATIVE FURNITURE" sheetId="25" r:id="rId27"/>
    <sheet name="LANDSCAPE" sheetId="27" r:id="rId28"/>
    <sheet name="PARKING" sheetId="26" state="hidden" r:id="rId29"/>
    <sheet name="LABAY" sheetId="28" state="hidden" r:id="rId30"/>
    <sheet name="SHOULDER" sheetId="30" state="hidden" r:id="rId31"/>
    <sheet name="BENCH" sheetId="36" r:id="rId32"/>
    <sheet name="CYCLE RACK" sheetId="37" r:id="rId33"/>
    <sheet name="ISLAND" sheetId="31" r:id="rId34"/>
    <sheet name="ROAD_SIGN_FACE and POLE" sheetId="7" r:id="rId35"/>
    <sheet name="Wooden Deck" sheetId="42" r:id="rId36"/>
    <sheet name="Jogging Track" sheetId="43" r:id="rId37"/>
    <sheet name="ROAD_SIGN_POLE" sheetId="8" state="hidden" r:id="rId38"/>
  </sheets>
  <definedNames>
    <definedName name="_xlnm._FilterDatabase" localSheetId="12" hidden="1">BARRIER!$G$1:$L$1</definedName>
    <definedName name="_xlnm._FilterDatabase" localSheetId="31" hidden="1">BENCH!$F$1:$K$12</definedName>
    <definedName name="_xlnm._FilterDatabase" localSheetId="4" hidden="1">BOLLARDS!$G$1:$L$1</definedName>
    <definedName name="_xlnm._FilterDatabase" localSheetId="17" hidden="1">'CAMEL GRID'!$H$1:$K$1</definedName>
    <definedName name="_xlnm._FilterDatabase" localSheetId="6" hidden="1">'CRASH CUSHION &amp; END TERMINAL'!$G$1:$L$1</definedName>
    <definedName name="_xlnm._FilterDatabase" localSheetId="32" hidden="1">'CYCLE RACK'!$G$1:$L$12</definedName>
    <definedName name="_xlnm._FilterDatabase" localSheetId="26" hidden="1">'DECORATIVE FURNITURE'!$E$1:$H$12</definedName>
    <definedName name="_xlnm._FilterDatabase" localSheetId="5" hidden="1">'DRAINAGE POINT'!$G$1:$M$1</definedName>
    <definedName name="_xlnm._FilterDatabase" localSheetId="10" hidden="1">FENCE!$G$1:$L$1</definedName>
    <definedName name="_xlnm._FilterDatabase" localSheetId="14" hidden="1">FOOTPATH!$F$1:$I$1</definedName>
    <definedName name="_xlnm._FilterDatabase" localSheetId="11" hidden="1">GANTRY!$L$2:$U$2</definedName>
    <definedName name="_xlnm._FilterDatabase" localSheetId="9" hidden="1">GUARDRAIL!$G$1:$L$1</definedName>
    <definedName name="_xlnm._FilterDatabase" localSheetId="3" hidden="1">GULLY!$G$1:$L$13</definedName>
    <definedName name="_xlnm._FilterDatabase" localSheetId="15" hidden="1">HUMP!$G$1:$L$1</definedName>
    <definedName name="_xlnm._FilterDatabase" localSheetId="33" hidden="1">ISLAND!$G$1:$J$12</definedName>
    <definedName name="_xlnm._FilterDatabase" localSheetId="27" hidden="1">LANDSCAPE!$E$1:$H$12</definedName>
    <definedName name="_xlnm._FilterDatabase" localSheetId="24" hidden="1">'PARKING TENTS'!$J$1:$S$1</definedName>
    <definedName name="_xlnm._FilterDatabase" localSheetId="16" hidden="1">'Pedestrian Crossing'!$L$1:$V$1</definedName>
    <definedName name="_xlnm._FilterDatabase" localSheetId="18" hidden="1">PERGOLA!$J$1:$S$1</definedName>
    <definedName name="_xlnm._FilterDatabase" localSheetId="23" hidden="1">'PUBLIC SHED'!$J$1:$S$1</definedName>
    <definedName name="_xlnm._FilterDatabase" localSheetId="8" hidden="1">'ROAD MARKING'!$I$1:$N$1</definedName>
    <definedName name="_xlnm._FilterDatabase" localSheetId="13" hidden="1">'ROAD STUD'!$F$1:$I$1</definedName>
    <definedName name="_xlnm._FilterDatabase" localSheetId="34" hidden="1">'ROAD_SIGN_FACE and POLE'!$Z$4:$AE$15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2" i="43" l="1"/>
  <c r="L11" i="43"/>
  <c r="L10" i="43"/>
  <c r="L9" i="43"/>
  <c r="L8" i="43"/>
  <c r="L7" i="43"/>
  <c r="L6" i="43"/>
  <c r="L5" i="43"/>
  <c r="L4" i="43"/>
  <c r="E4" i="43"/>
  <c r="D4" i="43"/>
  <c r="B7" i="43" s="1"/>
  <c r="B8" i="43" s="1"/>
  <c r="L3" i="43"/>
  <c r="L2" i="43"/>
  <c r="E4" i="42"/>
  <c r="D4" i="42"/>
  <c r="L12" i="42"/>
  <c r="L11" i="42"/>
  <c r="L10" i="42"/>
  <c r="L9" i="42"/>
  <c r="L8" i="42"/>
  <c r="L7" i="42"/>
  <c r="L6" i="42"/>
  <c r="L5" i="42"/>
  <c r="L4" i="42"/>
  <c r="L3" i="42"/>
  <c r="L2" i="42"/>
  <c r="B7" i="42" l="1"/>
  <c r="B8" i="42" s="1"/>
  <c r="H20" i="7"/>
  <c r="G20" i="7"/>
  <c r="G6" i="7"/>
  <c r="H12" i="7"/>
  <c r="G12" i="7"/>
  <c r="H6" i="7"/>
  <c r="F6" i="7"/>
  <c r="AJ32" i="7"/>
  <c r="AJ31" i="7"/>
  <c r="AJ30" i="7"/>
  <c r="AJ29" i="7"/>
  <c r="AJ28" i="7"/>
  <c r="AJ27" i="7"/>
  <c r="AJ26" i="7"/>
  <c r="AJ25" i="7"/>
  <c r="AJ24" i="7"/>
  <c r="AJ23" i="7"/>
  <c r="AJ22" i="7"/>
  <c r="AJ21" i="7"/>
  <c r="AJ20" i="7"/>
  <c r="AJ19" i="7"/>
  <c r="AJ18" i="7"/>
  <c r="AJ17" i="7"/>
  <c r="AJ16" i="7"/>
  <c r="AJ15" i="7"/>
  <c r="AJ14" i="7"/>
  <c r="AJ13" i="7"/>
  <c r="AJ12" i="7"/>
  <c r="AJ11" i="7"/>
  <c r="AJ10" i="7"/>
  <c r="AJ9" i="7"/>
  <c r="AJ8" i="7"/>
  <c r="AJ7" i="7"/>
  <c r="AJ6" i="7"/>
  <c r="AJ5" i="7"/>
  <c r="AD5" i="7"/>
  <c r="AD6" i="7"/>
  <c r="AD7" i="7"/>
  <c r="AD8" i="7"/>
  <c r="AD9" i="7"/>
  <c r="AD10" i="7"/>
  <c r="AD11" i="7"/>
  <c r="AD12" i="7"/>
  <c r="AD13" i="7"/>
  <c r="AD14" i="7"/>
  <c r="AD15" i="7"/>
  <c r="D4" i="31"/>
  <c r="B7" i="31" s="1"/>
  <c r="B8" i="31" s="1"/>
  <c r="E4" i="37"/>
  <c r="D4" i="37"/>
  <c r="D4" i="36"/>
  <c r="E4" i="36"/>
  <c r="D4" i="27"/>
  <c r="B7" i="27" s="1"/>
  <c r="B8" i="27" s="1"/>
  <c r="G4" i="40"/>
  <c r="H4" i="40"/>
  <c r="I4" i="40"/>
  <c r="F4" i="40"/>
  <c r="B7" i="40"/>
  <c r="B8" i="40" s="1"/>
  <c r="D4" i="25"/>
  <c r="B7" i="25"/>
  <c r="B8" i="25" s="1"/>
  <c r="G4" i="39"/>
  <c r="H4" i="39"/>
  <c r="I4" i="39"/>
  <c r="F4" i="39"/>
  <c r="B7" i="38"/>
  <c r="H4" i="38"/>
  <c r="I4" i="38"/>
  <c r="G4" i="38"/>
  <c r="F4" i="38"/>
  <c r="D4" i="19"/>
  <c r="B7" i="19" s="1"/>
  <c r="H16" i="18"/>
  <c r="G16" i="18"/>
  <c r="B20" i="18" s="1"/>
  <c r="B10" i="18"/>
  <c r="I8" i="18"/>
  <c r="H8" i="18"/>
  <c r="G8" i="18"/>
  <c r="D4" i="17"/>
  <c r="E4" i="17"/>
  <c r="D4" i="16"/>
  <c r="E4" i="14"/>
  <c r="D4" i="14"/>
  <c r="H24" i="13"/>
  <c r="G24" i="13"/>
  <c r="B26" i="13" s="1"/>
  <c r="H22" i="13"/>
  <c r="G22" i="13"/>
  <c r="H12" i="13"/>
  <c r="H8" i="13"/>
  <c r="G8" i="13"/>
  <c r="F12" i="13"/>
  <c r="G12" i="13" s="1"/>
  <c r="Z3" i="13"/>
  <c r="Z4" i="13"/>
  <c r="Z5" i="13"/>
  <c r="Z6" i="13"/>
  <c r="Z7" i="13"/>
  <c r="Z8" i="13"/>
  <c r="Z9" i="13"/>
  <c r="Z10" i="13"/>
  <c r="Z11" i="13"/>
  <c r="Z12" i="13"/>
  <c r="Z13" i="13"/>
  <c r="Z14" i="13"/>
  <c r="Z15" i="13"/>
  <c r="Z16" i="13"/>
  <c r="Z17" i="13"/>
  <c r="Z18" i="13"/>
  <c r="Z19" i="13"/>
  <c r="Z20" i="13"/>
  <c r="Z21" i="13"/>
  <c r="Z22" i="13"/>
  <c r="Z23" i="13"/>
  <c r="Z24" i="13"/>
  <c r="Z25" i="13"/>
  <c r="Z26" i="13"/>
  <c r="Z27" i="13"/>
  <c r="Z28" i="13"/>
  <c r="Z29" i="13"/>
  <c r="Z2" i="13"/>
  <c r="E4" i="12"/>
  <c r="D4" i="12"/>
  <c r="B21" i="7" l="1"/>
  <c r="B22" i="7" s="1"/>
  <c r="B12" i="7"/>
  <c r="B13" i="7" s="1"/>
  <c r="B7" i="37"/>
  <c r="B8" i="37"/>
  <c r="B7" i="36"/>
  <c r="B8" i="36" s="1"/>
  <c r="B7" i="39"/>
  <c r="B8" i="39" s="1"/>
  <c r="B8" i="38"/>
  <c r="B8" i="19"/>
  <c r="B21" i="18"/>
  <c r="B11" i="18"/>
  <c r="B7" i="17"/>
  <c r="B8" i="17" s="1"/>
  <c r="B7" i="14"/>
  <c r="B8" i="14" s="1"/>
  <c r="B15" i="13"/>
  <c r="B16" i="13" s="1"/>
  <c r="L18" i="13"/>
  <c r="B27" i="13"/>
  <c r="B7" i="12"/>
  <c r="B8" i="12" s="1"/>
  <c r="E4" i="11"/>
  <c r="D4" i="11"/>
  <c r="J4" i="11"/>
  <c r="J5" i="11" s="1"/>
  <c r="J6" i="11" s="1"/>
  <c r="J7" i="11" s="1"/>
  <c r="J8" i="11" s="1"/>
  <c r="J9" i="11" s="1"/>
  <c r="J10" i="11" s="1"/>
  <c r="G12" i="10"/>
  <c r="F12" i="10"/>
  <c r="F6" i="10"/>
  <c r="G6" i="10"/>
  <c r="E6" i="10"/>
  <c r="S8" i="10"/>
  <c r="S9" i="10"/>
  <c r="S10" i="10"/>
  <c r="S7" i="10"/>
  <c r="E4" i="9"/>
  <c r="D4" i="9"/>
  <c r="K11" i="9"/>
  <c r="L11" i="9" s="1"/>
  <c r="J4" i="9"/>
  <c r="J5" i="9" s="1"/>
  <c r="K3" i="9"/>
  <c r="L3" i="9" s="1"/>
  <c r="E4" i="4"/>
  <c r="D4" i="4"/>
  <c r="E4" i="3"/>
  <c r="D4" i="3"/>
  <c r="B7" i="3" s="1"/>
  <c r="L4" i="5"/>
  <c r="L5" i="5"/>
  <c r="L6" i="5"/>
  <c r="L7" i="5"/>
  <c r="L8" i="5"/>
  <c r="L9" i="5"/>
  <c r="L10" i="5"/>
  <c r="L11" i="5"/>
  <c r="L12" i="5"/>
  <c r="L13" i="5"/>
  <c r="L3" i="5"/>
  <c r="L4" i="6"/>
  <c r="L5" i="6"/>
  <c r="L6" i="6"/>
  <c r="L7" i="6"/>
  <c r="L8" i="6"/>
  <c r="L9" i="6"/>
  <c r="L10" i="6"/>
  <c r="L11" i="6"/>
  <c r="L12" i="6"/>
  <c r="L13" i="6"/>
  <c r="L3" i="6"/>
  <c r="K3" i="3"/>
  <c r="L3" i="3" s="1"/>
  <c r="E4" i="5"/>
  <c r="D4" i="5"/>
  <c r="B7" i="5" s="1"/>
  <c r="B8" i="5" s="1"/>
  <c r="E4" i="6"/>
  <c r="D4" i="6"/>
  <c r="E4" i="2"/>
  <c r="D4" i="2"/>
  <c r="B25" i="7" l="1"/>
  <c r="B26" i="7" s="1"/>
  <c r="B7" i="11"/>
  <c r="B8" i="11" s="1"/>
  <c r="B14" i="10"/>
  <c r="B7" i="9"/>
  <c r="B8" i="9" s="1"/>
  <c r="J6" i="9"/>
  <c r="K5" i="9"/>
  <c r="L5" i="9" s="1"/>
  <c r="K4" i="9"/>
  <c r="L4" i="9" s="1"/>
  <c r="B7" i="4"/>
  <c r="B8" i="4" s="1"/>
  <c r="B8" i="3"/>
  <c r="B7" i="6"/>
  <c r="B8" i="6" s="1"/>
  <c r="B7" i="2"/>
  <c r="B8" i="2" s="1"/>
  <c r="O12" i="2"/>
  <c r="P12" i="2" s="1"/>
  <c r="O4" i="2"/>
  <c r="P4" i="2" s="1"/>
  <c r="N5" i="2"/>
  <c r="N6" i="2" s="1"/>
  <c r="N7" i="2" s="1"/>
  <c r="N8" i="2" s="1"/>
  <c r="N9" i="2" s="1"/>
  <c r="N10" i="2" s="1"/>
  <c r="N11" i="2" s="1"/>
  <c r="O11" i="2" s="1"/>
  <c r="P11" i="2" s="1"/>
  <c r="J7" i="9" l="1"/>
  <c r="K6" i="9"/>
  <c r="L6" i="9" s="1"/>
  <c r="O10" i="2"/>
  <c r="P10" i="2" s="1"/>
  <c r="O9" i="2"/>
  <c r="P9" i="2" s="1"/>
  <c r="O8" i="2"/>
  <c r="P8" i="2" s="1"/>
  <c r="O7" i="2"/>
  <c r="P7" i="2" s="1"/>
  <c r="O6" i="2"/>
  <c r="P6" i="2" s="1"/>
  <c r="O5" i="2"/>
  <c r="P5" i="2" s="1"/>
  <c r="H12" i="15"/>
  <c r="H11" i="15"/>
  <c r="H10" i="15"/>
  <c r="H9" i="15"/>
  <c r="H8" i="15"/>
  <c r="H7" i="15"/>
  <c r="H6" i="15"/>
  <c r="H5" i="15"/>
  <c r="H4" i="15"/>
  <c r="H3" i="15"/>
  <c r="D4" i="15" s="1"/>
  <c r="B7" i="15" s="1"/>
  <c r="B8" i="15" s="1"/>
  <c r="H13" i="15"/>
  <c r="R2" i="40"/>
  <c r="R3" i="40"/>
  <c r="R4" i="40"/>
  <c r="R5" i="40"/>
  <c r="R6" i="40"/>
  <c r="R7" i="40"/>
  <c r="R8" i="40"/>
  <c r="R9" i="40"/>
  <c r="R10" i="40"/>
  <c r="R11" i="40"/>
  <c r="R12" i="40"/>
  <c r="R2" i="39"/>
  <c r="R3" i="39"/>
  <c r="R4" i="39"/>
  <c r="R5" i="39"/>
  <c r="R6" i="39"/>
  <c r="R7" i="39"/>
  <c r="R8" i="39"/>
  <c r="R9" i="39"/>
  <c r="R10" i="39"/>
  <c r="R11" i="39"/>
  <c r="R12" i="39"/>
  <c r="R11" i="38"/>
  <c r="R10" i="38"/>
  <c r="R9" i="38"/>
  <c r="R8" i="38"/>
  <c r="R7" i="38"/>
  <c r="R6" i="38"/>
  <c r="R5" i="38"/>
  <c r="R4" i="38"/>
  <c r="R3" i="38"/>
  <c r="R2" i="38"/>
  <c r="R12" i="38"/>
  <c r="K2" i="37"/>
  <c r="K12" i="37"/>
  <c r="J2" i="36"/>
  <c r="J12" i="36"/>
  <c r="C12" i="30"/>
  <c r="C11" i="30"/>
  <c r="C10" i="30"/>
  <c r="C9" i="30"/>
  <c r="C8" i="30"/>
  <c r="C7" i="30"/>
  <c r="C6" i="30"/>
  <c r="C5" i="30"/>
  <c r="C4" i="30"/>
  <c r="C3" i="30"/>
  <c r="C2" i="30"/>
  <c r="C12" i="28"/>
  <c r="C11" i="28"/>
  <c r="C10" i="28"/>
  <c r="C9" i="28"/>
  <c r="C8" i="28"/>
  <c r="C7" i="28"/>
  <c r="C6" i="28"/>
  <c r="C5" i="28"/>
  <c r="C4" i="28"/>
  <c r="C3" i="28"/>
  <c r="C2" i="28"/>
  <c r="C12" i="26"/>
  <c r="C11" i="26"/>
  <c r="C10" i="26"/>
  <c r="C9" i="26"/>
  <c r="C8" i="26"/>
  <c r="C7" i="26"/>
  <c r="C6" i="26"/>
  <c r="C5" i="26"/>
  <c r="C4" i="26"/>
  <c r="C3" i="26"/>
  <c r="C2" i="26"/>
  <c r="I2" i="31"/>
  <c r="I3" i="31"/>
  <c r="I4" i="31"/>
  <c r="I5" i="31"/>
  <c r="I6" i="31"/>
  <c r="I7" i="31"/>
  <c r="I8" i="31"/>
  <c r="I9" i="31"/>
  <c r="I10" i="31"/>
  <c r="I11" i="31"/>
  <c r="I12" i="31"/>
  <c r="G2" i="27"/>
  <c r="G3" i="27"/>
  <c r="G4" i="27"/>
  <c r="G5" i="27"/>
  <c r="G6" i="27"/>
  <c r="G7" i="27"/>
  <c r="G8" i="27"/>
  <c r="G9" i="27"/>
  <c r="G10" i="27"/>
  <c r="G11" i="27"/>
  <c r="G12" i="27"/>
  <c r="G2" i="25"/>
  <c r="G3" i="25"/>
  <c r="G4" i="25"/>
  <c r="G5" i="25"/>
  <c r="G6" i="25"/>
  <c r="G7" i="25"/>
  <c r="G8" i="25"/>
  <c r="G9" i="25"/>
  <c r="G10" i="25"/>
  <c r="G11" i="25"/>
  <c r="G12" i="25"/>
  <c r="C12" i="24"/>
  <c r="C11" i="24"/>
  <c r="C10" i="24"/>
  <c r="C9" i="24"/>
  <c r="C8" i="24"/>
  <c r="C7" i="24"/>
  <c r="C6" i="24"/>
  <c r="C5" i="24"/>
  <c r="C4" i="24"/>
  <c r="C3" i="24"/>
  <c r="C2" i="24"/>
  <c r="K3" i="23"/>
  <c r="K4" i="23"/>
  <c r="K5" i="23"/>
  <c r="K6" i="23"/>
  <c r="K7" i="23"/>
  <c r="K8" i="23"/>
  <c r="K9" i="23"/>
  <c r="K10" i="23"/>
  <c r="K11" i="23"/>
  <c r="K12" i="23"/>
  <c r="K2" i="23"/>
  <c r="C12" i="22"/>
  <c r="C11" i="22"/>
  <c r="C10" i="22"/>
  <c r="C9" i="22"/>
  <c r="C8" i="22"/>
  <c r="C7" i="22"/>
  <c r="C6" i="22"/>
  <c r="C5" i="22"/>
  <c r="C4" i="22"/>
  <c r="C3" i="22"/>
  <c r="C2" i="22"/>
  <c r="I3" i="21"/>
  <c r="I4" i="21"/>
  <c r="I5" i="21"/>
  <c r="I6" i="21"/>
  <c r="I7" i="21"/>
  <c r="I8" i="21"/>
  <c r="I9" i="21"/>
  <c r="I10" i="21"/>
  <c r="I11" i="21"/>
  <c r="I12" i="21"/>
  <c r="I2" i="21"/>
  <c r="R12" i="18"/>
  <c r="J8" i="9" l="1"/>
  <c r="K7" i="9"/>
  <c r="L7" i="9" s="1"/>
  <c r="J11" i="19"/>
  <c r="J10" i="19"/>
  <c r="J9" i="19"/>
  <c r="J8" i="19"/>
  <c r="J7" i="19"/>
  <c r="J6" i="19"/>
  <c r="J5" i="19"/>
  <c r="J4" i="19"/>
  <c r="J3" i="19"/>
  <c r="J2" i="19"/>
  <c r="J12" i="19"/>
  <c r="B7" i="16"/>
  <c r="B8" i="16" s="1"/>
  <c r="J9" i="9" l="1"/>
  <c r="K8" i="9"/>
  <c r="L8" i="9" s="1"/>
  <c r="C2" i="20"/>
  <c r="D2" i="20"/>
  <c r="C3" i="20"/>
  <c r="D3" i="20"/>
  <c r="C4" i="20"/>
  <c r="D4" i="20"/>
  <c r="C5" i="20"/>
  <c r="D5" i="20"/>
  <c r="C6" i="20"/>
  <c r="D6" i="20"/>
  <c r="C7" i="20"/>
  <c r="D7" i="20"/>
  <c r="C8" i="20"/>
  <c r="D8" i="20"/>
  <c r="C9" i="20"/>
  <c r="D9" i="20"/>
  <c r="C10" i="20"/>
  <c r="D10" i="20"/>
  <c r="C11" i="20"/>
  <c r="D11" i="20"/>
  <c r="C12" i="20"/>
  <c r="D12" i="20"/>
  <c r="R11" i="18"/>
  <c r="R10" i="18"/>
  <c r="R9" i="18"/>
  <c r="R8" i="18"/>
  <c r="R7" i="18"/>
  <c r="R6" i="18"/>
  <c r="R5" i="18"/>
  <c r="R4" i="18"/>
  <c r="R3" i="18"/>
  <c r="R2" i="18"/>
  <c r="K13" i="17"/>
  <c r="K12" i="17"/>
  <c r="K11" i="17"/>
  <c r="K10" i="17"/>
  <c r="K9" i="17"/>
  <c r="K8" i="17"/>
  <c r="K7" i="17"/>
  <c r="K6" i="17"/>
  <c r="K5" i="17"/>
  <c r="K4" i="17"/>
  <c r="K3" i="17"/>
  <c r="I13" i="14"/>
  <c r="J13" i="14"/>
  <c r="I12" i="14"/>
  <c r="J12" i="14"/>
  <c r="I11" i="14"/>
  <c r="J11" i="14"/>
  <c r="I10" i="14"/>
  <c r="J10" i="14"/>
  <c r="I9" i="14"/>
  <c r="J9" i="14"/>
  <c r="I8" i="14"/>
  <c r="J8" i="14"/>
  <c r="I7" i="14"/>
  <c r="J7" i="14"/>
  <c r="I6" i="14"/>
  <c r="J6" i="14"/>
  <c r="I5" i="14"/>
  <c r="J5" i="14"/>
  <c r="I4" i="14"/>
  <c r="J4" i="14"/>
  <c r="I3" i="14"/>
  <c r="J3" i="14"/>
  <c r="I13" i="12"/>
  <c r="K12" i="12"/>
  <c r="K11" i="12"/>
  <c r="K10" i="12"/>
  <c r="K9" i="12"/>
  <c r="K8" i="12"/>
  <c r="K7" i="12"/>
  <c r="K6" i="12"/>
  <c r="K5" i="12"/>
  <c r="K4" i="12"/>
  <c r="K3" i="12"/>
  <c r="K11" i="11"/>
  <c r="K10" i="11"/>
  <c r="K9" i="11"/>
  <c r="K8" i="11"/>
  <c r="K7" i="11"/>
  <c r="K6" i="11"/>
  <c r="K5" i="11"/>
  <c r="K4" i="11"/>
  <c r="K3" i="11"/>
  <c r="K13" i="10"/>
  <c r="L13" i="10"/>
  <c r="K12" i="10"/>
  <c r="L12" i="10"/>
  <c r="K11" i="10"/>
  <c r="L11" i="10"/>
  <c r="K10" i="10"/>
  <c r="L10" i="10"/>
  <c r="K9" i="10"/>
  <c r="L9" i="10"/>
  <c r="K8" i="10"/>
  <c r="L8" i="10"/>
  <c r="K7" i="10"/>
  <c r="L7" i="10"/>
  <c r="K6" i="10"/>
  <c r="L6" i="10"/>
  <c r="K5" i="10"/>
  <c r="L5" i="10"/>
  <c r="K4" i="10"/>
  <c r="L4" i="10"/>
  <c r="K3" i="10"/>
  <c r="L3" i="10"/>
  <c r="B15" i="10" s="1"/>
  <c r="K9" i="9" l="1"/>
  <c r="L9" i="9" s="1"/>
  <c r="J10" i="9"/>
  <c r="K10" i="9" s="1"/>
  <c r="L10" i="9" s="1"/>
  <c r="W14" i="7" l="1"/>
  <c r="W15" i="7"/>
  <c r="E2" i="8"/>
  <c r="E3" i="8"/>
  <c r="E4" i="8"/>
  <c r="E5" i="8"/>
  <c r="E6" i="8"/>
  <c r="E7" i="8"/>
  <c r="E8" i="8"/>
  <c r="E9" i="8"/>
  <c r="E10" i="8"/>
  <c r="E11" i="8"/>
  <c r="E12" i="8"/>
  <c r="W13" i="7"/>
  <c r="W12" i="7"/>
  <c r="W11" i="7"/>
  <c r="W10" i="7"/>
  <c r="W9" i="7"/>
  <c r="W8" i="7"/>
  <c r="W7" i="7"/>
  <c r="W6" i="7"/>
  <c r="W5" i="7"/>
  <c r="K13" i="6"/>
  <c r="K12" i="6"/>
  <c r="K11" i="6"/>
  <c r="K10" i="6"/>
  <c r="K9" i="6"/>
  <c r="K8" i="6"/>
  <c r="K7" i="6"/>
  <c r="K6" i="6"/>
  <c r="K5" i="6"/>
  <c r="K4" i="6"/>
  <c r="K3" i="6"/>
  <c r="I13" i="5"/>
  <c r="J13" i="5"/>
  <c r="I12" i="5"/>
  <c r="J12" i="5"/>
  <c r="I11" i="5"/>
  <c r="J11" i="5"/>
  <c r="I10" i="5"/>
  <c r="J10" i="5"/>
  <c r="I9" i="5"/>
  <c r="J9" i="5"/>
  <c r="I8" i="5"/>
  <c r="J8" i="5"/>
  <c r="I7" i="5"/>
  <c r="J7" i="5"/>
  <c r="I6" i="5"/>
  <c r="J6" i="5"/>
  <c r="I5" i="5"/>
  <c r="J5" i="5"/>
  <c r="J4" i="5"/>
  <c r="I3" i="5"/>
  <c r="J3" i="5"/>
  <c r="K13" i="4"/>
  <c r="K12" i="4"/>
  <c r="K11" i="4"/>
  <c r="K10" i="4"/>
  <c r="K9" i="4"/>
  <c r="K8" i="4"/>
  <c r="K7" i="4"/>
  <c r="K6" i="4"/>
  <c r="K5" i="4"/>
  <c r="K4" i="4"/>
  <c r="K3" i="4"/>
  <c r="K4" i="3" l="1"/>
  <c r="L4" i="3" s="1"/>
  <c r="K5" i="3"/>
  <c r="L5" i="3" s="1"/>
  <c r="K6" i="3"/>
  <c r="L6" i="3" s="1"/>
  <c r="K7" i="3"/>
  <c r="L7" i="3" s="1"/>
  <c r="K8" i="3"/>
  <c r="L8" i="3" s="1"/>
  <c r="J11" i="36" l="1"/>
  <c r="J10" i="36" l="1"/>
  <c r="J9" i="36" l="1"/>
  <c r="J8" i="36" l="1"/>
  <c r="J7" i="36" l="1"/>
  <c r="J6" i="36" l="1"/>
  <c r="J5" i="36" l="1"/>
  <c r="J3" i="36" l="1"/>
  <c r="J4" i="36"/>
  <c r="K11" i="37"/>
  <c r="K10" i="37" l="1"/>
  <c r="K9" i="37" l="1"/>
  <c r="K8" i="37" l="1"/>
  <c r="K7" i="37" l="1"/>
  <c r="K6" i="37" l="1"/>
  <c r="K5" i="37" l="1"/>
  <c r="K3" i="37" l="1"/>
  <c r="K4" i="37"/>
</calcChain>
</file>

<file path=xl/sharedStrings.xml><?xml version="1.0" encoding="utf-8"?>
<sst xmlns="http://schemas.openxmlformats.org/spreadsheetml/2006/main" count="2056" uniqueCount="795">
  <si>
    <t>No Defect Found</t>
  </si>
  <si>
    <t>GOOD</t>
  </si>
  <si>
    <t>FAIR</t>
  </si>
  <si>
    <t>POOR</t>
  </si>
  <si>
    <t>ACI Rating</t>
  </si>
  <si>
    <t>ACI = F + A</t>
  </si>
  <si>
    <t>Appearance Rating (A)</t>
  </si>
  <si>
    <t>Functional Rating (F)</t>
  </si>
  <si>
    <t>Appearance Defects</t>
  </si>
  <si>
    <t>Functional Defects</t>
  </si>
  <si>
    <t xml:space="preserve">Crash Cushion is 5% Damaged </t>
  </si>
  <si>
    <t xml:space="preserve">Crash Cushion is 10% Damaged </t>
  </si>
  <si>
    <t xml:space="preserve">Crash Cushion is 15% Damaged </t>
  </si>
  <si>
    <t xml:space="preserve">Crash Cushion is 20% Damaged </t>
  </si>
  <si>
    <t xml:space="preserve">Crash Cushion is 25% Damaged </t>
  </si>
  <si>
    <t xml:space="preserve">Crash Cushion is 30% Damaged </t>
  </si>
  <si>
    <t xml:space="preserve">Crash Cushion is 35% Damaged </t>
  </si>
  <si>
    <t xml:space="preserve">Crash Cushion is 40% Damaged </t>
  </si>
  <si>
    <t xml:space="preserve">Crash Cushion is 45% Damaged </t>
  </si>
  <si>
    <t xml:space="preserve">Crash Cushion is more than 50% Damaged </t>
  </si>
  <si>
    <t>Paint is deteriorated 5%</t>
  </si>
  <si>
    <t xml:space="preserve">Bollard is minor misaligned / damaged less than 5% </t>
  </si>
  <si>
    <t>Paint is deteriorated 10%</t>
  </si>
  <si>
    <t xml:space="preserve">Bollard is minor misaligned / damaged 10% </t>
  </si>
  <si>
    <t>Paint is deteriorated 15%</t>
  </si>
  <si>
    <t xml:space="preserve">Bollard is misaligned / damaged 15% </t>
  </si>
  <si>
    <t>Paint is deteriorated 20%</t>
  </si>
  <si>
    <t xml:space="preserve">Bollard is misaligned / damaged 20% </t>
  </si>
  <si>
    <t>Paint is deteriorated 25%</t>
  </si>
  <si>
    <t xml:space="preserve">Bollard is misaligned / damaged 25% </t>
  </si>
  <si>
    <t>Paint is deteriorated 30%</t>
  </si>
  <si>
    <t xml:space="preserve">Bollard is misaligned / damaged 30% </t>
  </si>
  <si>
    <t>Paint is deteriorated 35%</t>
  </si>
  <si>
    <t xml:space="preserve">Bollard is misaligned / damaged 35% </t>
  </si>
  <si>
    <t>Paint is deteriorated 40%</t>
  </si>
  <si>
    <t xml:space="preserve">Bollard is misaligned / damaged 40% </t>
  </si>
  <si>
    <t>Paint is deteriorated more than 45%</t>
  </si>
  <si>
    <t xml:space="preserve">Bollard is misaligned / damaged 45% </t>
  </si>
  <si>
    <t>Major Paint faded or peeled off with rusting and or completely missing</t>
  </si>
  <si>
    <t>Bollard is damaged more than 45% and or completely missing</t>
  </si>
  <si>
    <t>Minor Paint faded or Peeled off 1% Gully cover</t>
  </si>
  <si>
    <t>Gully Cover is 1% (minor) not levelled with the surface and or 1% minor deterioration and or Concrete is minor deteriorated 1%</t>
  </si>
  <si>
    <t>Minor Paint faded or Peeled off 2% Gully cover</t>
  </si>
  <si>
    <t>Gully Cover is 2% (minor) not levelled with the surface and or 1% minor deterioration and or Concrete is minor deteriorated 2%</t>
  </si>
  <si>
    <t>Paint faded or Peeled off 5% Gully cover</t>
  </si>
  <si>
    <t>Gully Cover is 5% not levelled with the surface and or 5% minor deterioration and or Concrete is minor deteriorated 5%</t>
  </si>
  <si>
    <t>Paint faded or Peeled off 10% Gully cover with rusting</t>
  </si>
  <si>
    <t>Gully Cover is 5% (minor) not levelled with the surface and or Concrete is minor deteriorated 5%, and or 5% filled with sand</t>
  </si>
  <si>
    <t>Paint faded or Peeled off 15% Gully cover with rusting</t>
  </si>
  <si>
    <t>Gully Cover is 7% (minor) not levelled with the surface and or Concrete is minor deteriorated 7%, and or 7% filled with sand</t>
  </si>
  <si>
    <t>Paint faded or Peeled off 20% Gully cover with rusting</t>
  </si>
  <si>
    <t>Gully Cover is 10% not levelled with the surface and or deteriorated 10% and or Concrete is deteriorated 10%, and or 10% filled with sand</t>
  </si>
  <si>
    <t>Paint faded or Peeled off 25% Gully cover with rusting</t>
  </si>
  <si>
    <t>Gully Cover is 20% not levelled with the surface and or deteriorated 20% and or Concrete is deteriorated 20%, and or 20% filled with sand</t>
  </si>
  <si>
    <t>Paint faded or Peeled off 30% Gully cover with rusting</t>
  </si>
  <si>
    <t>Gully Cover is 30% not levelled with the surface and or deteriorated 30% and or Concrete is deteriorated 30%, and or 30% filled with sand</t>
  </si>
  <si>
    <t>Paint faded or Peeled off 40% Gully cover with rusting</t>
  </si>
  <si>
    <t>Gully Cover is 40% not levelled with the surface and or deteriorated 40% and or partially missing and or Concrete is deteriorated 40%, and or 40% filled with sand</t>
  </si>
  <si>
    <t>Paint faded or Peeled off more than 40% Gully cover with rusting</t>
  </si>
  <si>
    <t>Gully Cover is not levelled more than 40% with the surface and or deteriorated more than 40% and or completely missing  and or Concrete is deteriorated more than 40%, and or filled with sand more than 40%</t>
  </si>
  <si>
    <t>Road sign with 90% visibility</t>
  </si>
  <si>
    <t>Road sign with 5% fading  and or minor misaligned</t>
  </si>
  <si>
    <t>Road sign with 80% visibility</t>
  </si>
  <si>
    <t>Road sign with 10% fading</t>
  </si>
  <si>
    <t>Road sign with 70% visibility</t>
  </si>
  <si>
    <t>Road sign with 20% fading</t>
  </si>
  <si>
    <t>Road sign with 60% visibility</t>
  </si>
  <si>
    <t>Road sign with 25% fading and or face obscured by trees 25% or face deterioration 25%</t>
  </si>
  <si>
    <t>Road sign with 50% visibility</t>
  </si>
  <si>
    <t>Road sign with 30% fading and or missing components</t>
  </si>
  <si>
    <t>Road sign with 40% visibility</t>
  </si>
  <si>
    <t>Road sign with 35% fading and or damaged road sign 35%</t>
  </si>
  <si>
    <t>Road sign with 30% visibility</t>
  </si>
  <si>
    <t>Road sign with 40% fading and or damaged road sign 40%</t>
  </si>
  <si>
    <t>Road sign with 20% visibility</t>
  </si>
  <si>
    <t>Road sign with 50% fading and or face damaded 50%</t>
  </si>
  <si>
    <t>Road sign with 10% visibility</t>
  </si>
  <si>
    <t>Road sign barely visible or severely damaged</t>
  </si>
  <si>
    <t>Road sign with visibility less than 10%</t>
  </si>
  <si>
    <t>Presence Defects</t>
  </si>
  <si>
    <t>Visibility Defects</t>
  </si>
  <si>
    <t xml:space="preserve">Minor Paint faded or Peeled off 1% </t>
  </si>
  <si>
    <t xml:space="preserve">Minor Paint faded or Peeled off 2% </t>
  </si>
  <si>
    <t xml:space="preserve">Paint faded or Peeled off 5% </t>
  </si>
  <si>
    <t>Paint faded or Peeled off 10% with rusting</t>
  </si>
  <si>
    <t>Paint faded or Peeled off 15% with rusting</t>
  </si>
  <si>
    <t>Paint faded or Peeled off 20%  with rusting</t>
  </si>
  <si>
    <t>Paint faded or Peeled off 25% with rusting</t>
  </si>
  <si>
    <t>Paint faded or Peeled off 30% with rusting</t>
  </si>
  <si>
    <t>Paint faded or Peeled off 40% with rusting</t>
  </si>
  <si>
    <t>Paint faded or Peeled off more than 40% with rusting</t>
  </si>
  <si>
    <t>Post Misaligned or damaged completely</t>
  </si>
  <si>
    <t>Road sign with 2% fading</t>
  </si>
  <si>
    <t>Post Misaligned 35% and or any other deterioration 35%</t>
  </si>
  <si>
    <t xml:space="preserve">Post Misaligned 30% and or any other deterioration 30% </t>
  </si>
  <si>
    <t xml:space="preserve">Post Misaligned 25% and or any other deterioration 25% </t>
  </si>
  <si>
    <t xml:space="preserve">Post Misaligned 20% and or any other deterioration 20% </t>
  </si>
  <si>
    <t xml:space="preserve">Post Misaligned 10% and or any other deterioration 10% </t>
  </si>
  <si>
    <t xml:space="preserve">Post Misaligned 7% and or any other deterioration 7% </t>
  </si>
  <si>
    <t xml:space="preserve">Post Misaligned 5% and or any other deterioration 5% </t>
  </si>
  <si>
    <t xml:space="preserve">Post Misaligned Minor 2% and or any other minor deterioration 2% </t>
  </si>
  <si>
    <t xml:space="preserve">Post Misaligned Minor 1% and or any other minor deterioration 1% </t>
  </si>
  <si>
    <t>Visibility Rating (V)</t>
  </si>
  <si>
    <t>Presence Rating (P)</t>
  </si>
  <si>
    <t>ACI = F</t>
  </si>
  <si>
    <t>ACI = V+P</t>
  </si>
  <si>
    <t>ACI = V + P</t>
  </si>
  <si>
    <t xml:space="preserve">Marking is faded / peeled of 5% </t>
  </si>
  <si>
    <t xml:space="preserve">Visibility is 98% </t>
  </si>
  <si>
    <t xml:space="preserve">Marking is faded / peeled of 10% </t>
  </si>
  <si>
    <t xml:space="preserve">Visibility is 95% </t>
  </si>
  <si>
    <t xml:space="preserve">Marking is faded / peeled of 15% </t>
  </si>
  <si>
    <t xml:space="preserve">Visibility is 90% </t>
  </si>
  <si>
    <t xml:space="preserve">Marking is faded / peeled of 20% </t>
  </si>
  <si>
    <t xml:space="preserve">Visibility is 85% </t>
  </si>
  <si>
    <t xml:space="preserve">Marking is faded / peeled of 40% </t>
  </si>
  <si>
    <t xml:space="preserve">Visibility is 75% </t>
  </si>
  <si>
    <t xml:space="preserve">Marking is faded / peeled of 60% </t>
  </si>
  <si>
    <t xml:space="preserve">Visibility is 70% </t>
  </si>
  <si>
    <t xml:space="preserve">Marking is faded / peeled of 65% </t>
  </si>
  <si>
    <t xml:space="preserve">Visibility is 65% </t>
  </si>
  <si>
    <t xml:space="preserve">Marking is faded / peeled of 70% </t>
  </si>
  <si>
    <t xml:space="preserve">Visibility is 60% </t>
  </si>
  <si>
    <t xml:space="preserve">Marking is faded / peeled of 75% </t>
  </si>
  <si>
    <t xml:space="preserve">Visibility is 55% </t>
  </si>
  <si>
    <t xml:space="preserve">Marking is more than 80% not visible </t>
  </si>
  <si>
    <t xml:space="preserve">Visibility is less than 40% </t>
  </si>
  <si>
    <t>Paint faded or peeled off / Rusting 2%</t>
  </si>
  <si>
    <t xml:space="preserve">Fence misaligned / damaged 2% </t>
  </si>
  <si>
    <t>Paint faded or peeled off / Rusting 4%</t>
  </si>
  <si>
    <t xml:space="preserve">Fence misaligned / damaged 4% </t>
  </si>
  <si>
    <t>Paint faded or peeled off / Rusting 6%</t>
  </si>
  <si>
    <t xml:space="preserve">Fence misaligned / damaged 6% </t>
  </si>
  <si>
    <t>Paint faded or peeled off / Rusting 8%</t>
  </si>
  <si>
    <t xml:space="preserve">Fence misaligned / damaged 8% </t>
  </si>
  <si>
    <t>Paint faded or peeled off / Rusting 10%</t>
  </si>
  <si>
    <t xml:space="preserve">Fence misaligned / damaged 10% </t>
  </si>
  <si>
    <t>Paint faded or peeled off / Rusting 12%</t>
  </si>
  <si>
    <t xml:space="preserve">Fence misaligned / damaged 12% </t>
  </si>
  <si>
    <t>Paint faded or peeled off / Rusting 14%</t>
  </si>
  <si>
    <t xml:space="preserve">Fence misaligned / damaged 14% </t>
  </si>
  <si>
    <t>Paint faded or peeled off / Rusting 16%</t>
  </si>
  <si>
    <t xml:space="preserve">Fence misaligned / damaged 16% </t>
  </si>
  <si>
    <t>Paint faded or peeled off / Rusting 18%</t>
  </si>
  <si>
    <t xml:space="preserve">Fence misaligned / damaged 18% </t>
  </si>
  <si>
    <t>Major Paint faded or peeled off / Rusting 20% or more</t>
  </si>
  <si>
    <t xml:space="preserve">Fence severely misaligned / damaged more that 20% </t>
  </si>
  <si>
    <t>Gantry Post and/or Beam has 2% rusting / deterioration</t>
  </si>
  <si>
    <t>Foundation has Surface Deterioration 2%</t>
  </si>
  <si>
    <t>Gantry Post and/or Beam has 4% rusting / deterioration</t>
  </si>
  <si>
    <t>Foundation has Surface Deterioration 4%</t>
  </si>
  <si>
    <t>Gantry Post and/or Beam has 6% rusting / deterioration</t>
  </si>
  <si>
    <t>Gantry Post and/or Beam has 8% rusting / deterioration</t>
  </si>
  <si>
    <t>Gantry Post and/or Beam has 10% rusting / deterioration</t>
  </si>
  <si>
    <t xml:space="preserve">Gantry Post and/or beam are damaged more than 40% </t>
  </si>
  <si>
    <t>Foundation has major damages more than 40%</t>
  </si>
  <si>
    <t>ACI = F + S</t>
  </si>
  <si>
    <t>Structure Rating (S)</t>
  </si>
  <si>
    <t>Foundation Rating (F)</t>
  </si>
  <si>
    <t xml:space="preserve">Paint peeled off / Suface cracks is 2% </t>
  </si>
  <si>
    <t>Barrier is 1% damage / misaligned</t>
  </si>
  <si>
    <t xml:space="preserve">Paint peeled off / Suface cracks is 4% </t>
  </si>
  <si>
    <t>Barrier is 2% damage / misaligned</t>
  </si>
  <si>
    <t xml:space="preserve">Paint peeled off / Suface cracks is 6% </t>
  </si>
  <si>
    <t>Barrier is 3% damage / misaligned</t>
  </si>
  <si>
    <t xml:space="preserve">Paint peeled off / Suface cracks is 8% </t>
  </si>
  <si>
    <t>Barrier is 4% damage / misaligned</t>
  </si>
  <si>
    <t xml:space="preserve">Paint peeled off / Suface cracks is 10% </t>
  </si>
  <si>
    <t>Barrier is 5% damage / misaligned</t>
  </si>
  <si>
    <t xml:space="preserve">Paint peeled off / Suface cracks is 12% </t>
  </si>
  <si>
    <t>Barrier is 6% damage / misaligned</t>
  </si>
  <si>
    <t xml:space="preserve">Paint peeled off / Suface cracks is 14% </t>
  </si>
  <si>
    <t>Barrier is 7% damage / misaligned</t>
  </si>
  <si>
    <t xml:space="preserve">Paint peeled off / Suface cracks is 16% </t>
  </si>
  <si>
    <t>Barrier is 8% damage / misaligned</t>
  </si>
  <si>
    <t xml:space="preserve">Paint peeled off / Suface cracks is 18% </t>
  </si>
  <si>
    <t>Barrier is 9% damage / misaligned</t>
  </si>
  <si>
    <t xml:space="preserve">Paint peeled off / Suface cracks more than 20% </t>
  </si>
  <si>
    <t>Barrier is more than 10% damage / misaligned</t>
  </si>
  <si>
    <t>Road Studs Minor deterioration less than 1%</t>
  </si>
  <si>
    <t>Road Studs Minor deterioration 2%</t>
  </si>
  <si>
    <t>Reflectors deteriorated and or road studs slightly disloged for one or two road studs in one location</t>
  </si>
  <si>
    <t>Reflectors deteriorated and or road studs slightly disloged for one or two road studs in two separate locations</t>
  </si>
  <si>
    <t>Reflectors deteriorated and or road studs slightly disloged for multiple road studs consecutively</t>
  </si>
  <si>
    <t>Multiple Road studs damaged or missing in a row consecutively posing safety concerns</t>
  </si>
  <si>
    <t>Completely Damaged or missing road studs in a row consecutively posing safety concerns</t>
  </si>
  <si>
    <t>Multiple Road studs damaged or missing in two separate locations</t>
  </si>
  <si>
    <t>Road studs damaged or missing in two separate locations</t>
  </si>
  <si>
    <t>One or two Road studs damaged or missing in one location</t>
  </si>
  <si>
    <t>Minor Deterioration less than 1%</t>
  </si>
  <si>
    <t xml:space="preserve">Paint Faded and or deteriorated 2% </t>
  </si>
  <si>
    <t>Minor Deterioration 2%</t>
  </si>
  <si>
    <t>Low Depression and or other deteriorations 5%</t>
  </si>
  <si>
    <t xml:space="preserve">Paint Faded and or deteriorated 5% </t>
  </si>
  <si>
    <t xml:space="preserve">Paint Faded and or deteriorated 10% </t>
  </si>
  <si>
    <t xml:space="preserve">Paint Faded and or deteriorated 15% </t>
  </si>
  <si>
    <t xml:space="preserve">Paint Faded and or deteriorated 25% </t>
  </si>
  <si>
    <t>Structural Defects</t>
  </si>
  <si>
    <t>Minor Deterioration 3%</t>
  </si>
  <si>
    <t>Minor Depression and or minor paver damages and or other minor deteriorations 5%</t>
  </si>
  <si>
    <t>Minor Depression and or minor paver damages and or other minor deteriorations 10%</t>
  </si>
  <si>
    <t>Minor Depression and or minor paver damages and or other minor deteriorations 15%</t>
  </si>
  <si>
    <t>Depression and or  paver damages and or other deteriorations 20%</t>
  </si>
  <si>
    <t>Depression and or  paver damages and or other deteriorations 25%</t>
  </si>
  <si>
    <t>Depression and or  paver damages and or other deteriorations 30%</t>
  </si>
  <si>
    <t>Depression and or  paver damages and or other deteriorations 35%</t>
  </si>
  <si>
    <t>Structural Defects (S)</t>
  </si>
  <si>
    <t>Camel grid is minor deteriorated less than 1%</t>
  </si>
  <si>
    <t>Camel grid is minor deteriorated less than 5%</t>
  </si>
  <si>
    <t>Camel grid is minor deteriorated less than 7%</t>
  </si>
  <si>
    <t>Camel Grid is 10% deteriorated and or rusted 10% and or partially filled with sand 10%</t>
  </si>
  <si>
    <t>Camel Grid is 15% deteriorated and or rusted 15% and or partially filled with sand 15%</t>
  </si>
  <si>
    <t>Camel Grid is deteriorated 20% and or rusted 20% and or camel grid components are missing 20% and or filled 20% with sand</t>
  </si>
  <si>
    <t>Camel Grid is deteriorated 25% and or rusted 25% and or camel grid components are missing 25% and or filled 25% with sand</t>
  </si>
  <si>
    <t>Camel Grid is deteriorated 30% and or rusted 30% and or camel grid components are missing 30% and or filled 30% with sand</t>
  </si>
  <si>
    <t>Camel Grid is deteriorated 40% and or rusted 40% and or camel grid components are missing 40% and or filled 40% with sand</t>
  </si>
  <si>
    <t>Camel Grid is deteriorated more than 40% and or rusted more than 40% and or camel grid components are missing more than 40% and or filled more than 40% with sand</t>
  </si>
  <si>
    <t>Structural Rating (S)</t>
  </si>
  <si>
    <t>ACI = S + A</t>
  </si>
  <si>
    <t>Visibility  Defects</t>
  </si>
  <si>
    <t>Visibility Defects (V)</t>
  </si>
  <si>
    <t>Presence Defects  (P)</t>
  </si>
  <si>
    <t>Foundation Defects</t>
  </si>
  <si>
    <t xml:space="preserve">Concrete has minor deterioration 20% and/or rusting 20% and/or lose bolts 20% </t>
  </si>
  <si>
    <t xml:space="preserve">Concrete has minor deterioration 5% and/or rusting 5% and/or lose bolts 5% </t>
  </si>
  <si>
    <t xml:space="preserve">Concrete has minor deterioration 10% and/or rusting 10% and/or lose bolts 10% </t>
  </si>
  <si>
    <t xml:space="preserve">Concrete has deterioration 25% and/or rusting 25% and/or lose bolts 25% </t>
  </si>
  <si>
    <t xml:space="preserve">Concrete has deterioration 30% and/or rusting 30% and/or lose bolts 30% </t>
  </si>
  <si>
    <t xml:space="preserve">Concrete has deterioration 40% and/or rusting 40% and/or lose bolts 40% </t>
  </si>
  <si>
    <t xml:space="preserve">Concrete has deterioration more than 60% and/or rusting more than 60% and/or lose or missing bolts  more than 60% </t>
  </si>
  <si>
    <t xml:space="preserve">Concrete has deterioration 55% and/or rusting 55% and/or lose bolts 55% </t>
  </si>
  <si>
    <t xml:space="preserve">Concrete has deterioration 50% and/or rusting 50% and/or lose bolts 50% </t>
  </si>
  <si>
    <t xml:space="preserve">Concrete has deterioration 45% and/or rusting 45% and/or lose bolts 45% </t>
  </si>
  <si>
    <t>Pole Functional Defects</t>
  </si>
  <si>
    <t>Pole Appearance Defects</t>
  </si>
  <si>
    <t>Pole Misaligned or damaged completely</t>
  </si>
  <si>
    <t>Pole Misaligned 35% and or any other deterioration 35%</t>
  </si>
  <si>
    <t xml:space="preserve">Pole Misaligned 30% and or any other deterioration 30% </t>
  </si>
  <si>
    <t xml:space="preserve">Pole Misaligned 25% and or any other deterioration 25% </t>
  </si>
  <si>
    <t xml:space="preserve">Pole Misaligned 20% and or any other deterioration 20% </t>
  </si>
  <si>
    <t xml:space="preserve">Pole Misaligned 10% and or any other deterioration 10% </t>
  </si>
  <si>
    <t xml:space="preserve">Pole Misaligned 7% and or any other deterioration 7% </t>
  </si>
  <si>
    <t xml:space="preserve">Pole Misaligned 5% and or any other deterioration 5% </t>
  </si>
  <si>
    <t xml:space="preserve">Pole Misaligned Minor 2% and or any other minor deterioration 2% </t>
  </si>
  <si>
    <t xml:space="preserve">Pole Misaligned Minor 1% and or any other minor deterioration 1% </t>
  </si>
  <si>
    <t>Signal Head and Lights</t>
  </si>
  <si>
    <t xml:space="preserve">Signal Light and/or Signal Head has deterioration more than 60% </t>
  </si>
  <si>
    <t xml:space="preserve">Signal Light and/or Signal Head has deterioration more than 55% </t>
  </si>
  <si>
    <t xml:space="preserve">Signal Light and/or Signal Head has deterioration more than 45% </t>
  </si>
  <si>
    <t xml:space="preserve">Signal Light and/or Signal Head has deterioration more than 40% </t>
  </si>
  <si>
    <t xml:space="preserve">Signal Light and/or Signal Head has deterioration more than 50% </t>
  </si>
  <si>
    <t xml:space="preserve">Signal Light and/or Signal Head has deterioration more than 30% </t>
  </si>
  <si>
    <t xml:space="preserve">Signal Light and/or Signal Head has deterioration more than 25% </t>
  </si>
  <si>
    <t xml:space="preserve">Signal Light and/or Signal Head has deterioration more than 20% </t>
  </si>
  <si>
    <t xml:space="preserve">Signal Light and/or Signal Head has deterioration more than 10% </t>
  </si>
  <si>
    <t xml:space="preserve">Signal Light and/or Signal Head has deterioration more than 5% </t>
  </si>
  <si>
    <t>``</t>
  </si>
  <si>
    <t>Pole Functional Rating (FC)</t>
  </si>
  <si>
    <t>Pole Appearance Rating (A)</t>
  </si>
  <si>
    <t>Signal Head and Light Rating (S)</t>
  </si>
  <si>
    <t>ACI = 0.2*F + 0.2*(FC + A) + 0.6*S</t>
  </si>
  <si>
    <t>Controller box door, hinges, handle, and lock have deterioration 20% and or Corrosion 20%</t>
  </si>
  <si>
    <t>Controller box door, hinges, handle, and lock have minor deterioration 1% and or Corrosion 1%</t>
  </si>
  <si>
    <t>Controller box door, hinges, handle, and lock have minor deterioration 5% and or Corrosion 5%</t>
  </si>
  <si>
    <t>Controller box door, hinges, handle, and lock have mino deterioration 10% and or Corrosion 10%</t>
  </si>
  <si>
    <t>Controller box door, hinges, handle, and lock have deterioration 30% and or Corrosion 30%</t>
  </si>
  <si>
    <t>Controller box door, hinges, handle, and lock have damages 40% and or Corrosion 40%</t>
  </si>
  <si>
    <t>Controller box door is completely damaged and or missing</t>
  </si>
  <si>
    <t>Controller box door, hinges, handle, and lock have damages 50% and or Corrosion 50%</t>
  </si>
  <si>
    <t>Controller box door, hinges, handle, and lock have damages 55% and or Corrosion 55%</t>
  </si>
  <si>
    <t>Controller box door has missing panel and or damaged 60%</t>
  </si>
  <si>
    <t>Street Light Lamp Defects</t>
  </si>
  <si>
    <t>Lighting Arm Defects</t>
  </si>
  <si>
    <t>Street Light bulb has very minor deterioration 1%</t>
  </si>
  <si>
    <t>Street Light bulb and or lamp cover has minor deterioration 3%</t>
  </si>
  <si>
    <t>Street Light bulb and or lamp cover has minor deterioration 5%</t>
  </si>
  <si>
    <t>Street Light bulb and or lamp cover has minor deterioration 7%</t>
  </si>
  <si>
    <t>Street Light bulb and or lamp cover has minor deterioration 10%</t>
  </si>
  <si>
    <t xml:space="preserve">Street Light bulb and or lamp cover are damaged more than 20% </t>
  </si>
  <si>
    <t>Street Light and or lamp cover are damaged 25% and or missing</t>
  </si>
  <si>
    <t>Street Light and or lamp cover are damaged 30% and or missing</t>
  </si>
  <si>
    <t>Street Light and or lamp cover are damaged 35% and or missing</t>
  </si>
  <si>
    <t>Street Light and or lamp cover are damaged 40% and or missing</t>
  </si>
  <si>
    <t>Lighting arm very minor deterioration 1%</t>
  </si>
  <si>
    <t>Lighting arm has deterioration 5% and or misaligned 5%</t>
  </si>
  <si>
    <t>Lighting arm minor deterioration 3%</t>
  </si>
  <si>
    <t>Lighting arm has deterioration 7% and or misaligned 7%</t>
  </si>
  <si>
    <t>Lighting arm has deterioration 10% and or misaligned 10%</t>
  </si>
  <si>
    <t>Lighting arm has deterioration 20% and or misaligned 20%</t>
  </si>
  <si>
    <t>Lighting arm have damages 25% and or misaligned 25%</t>
  </si>
  <si>
    <t>Lighting arm have damages 30% and or misaligned 30%</t>
  </si>
  <si>
    <t>Lighting arm have damages 35% and or misaligned 35%</t>
  </si>
  <si>
    <t>Lighting arm have damages 40% and or misaligned 40%</t>
  </si>
  <si>
    <t>Lighting Arm Rating (L)</t>
  </si>
  <si>
    <t>Street Light Lamp Rating (LL)</t>
  </si>
  <si>
    <t>ACI = 0.2*F + 0.2*(FC + A) + 0.3*L + 0.3*LL</t>
  </si>
  <si>
    <t>Deterioration of corrosion and/or misalignment 40% and or concrete foundation and bolts damages 40%</t>
  </si>
  <si>
    <t>Very minor deterioration of paint 1%</t>
  </si>
  <si>
    <t>Minor deterioration of paint 5%</t>
  </si>
  <si>
    <t>Minor deterioration of paint 2%</t>
  </si>
  <si>
    <t>Corrosion and/or misalignment and or physical damages 40% and or concrete foundation and bolts damages 40% and or camera lenses blurred/cracked/damaged</t>
  </si>
  <si>
    <t>Corrosion and/or misalignment and or physical damages 45% and or concrete foundation and bolts damages 45% and or camera lenses blurred/cracked/damaged</t>
  </si>
  <si>
    <t>Corrosion and/or misalignment and or physical damages 50% and or concrete foundation and bolts damages 50% and or camera lenses blurred/cracked/damaged</t>
  </si>
  <si>
    <t>Corrosion and/or misalignment and or physical damages 55% and or concrete foundation and bolts damages 55% and or camera lenses blurred/cracked/damaged</t>
  </si>
  <si>
    <t>Corrosion and/or misalignment and or physical damages 60% and or concrete foundation and bolts damages 60% and or camera lenses blurred/cracked/damaged and or camera completely damaged</t>
  </si>
  <si>
    <t>Decorative furniture is damaged 10%</t>
  </si>
  <si>
    <t>Decorative furniture is damaged 20%</t>
  </si>
  <si>
    <t>Decorative furniture is damaged 30%</t>
  </si>
  <si>
    <t>Decorative furniture is damaged 40%</t>
  </si>
  <si>
    <t>Decorative furniture is damaged 5%</t>
  </si>
  <si>
    <t>Decorative furniture is damaged 15%</t>
  </si>
  <si>
    <t>Decorative furniture is damaged 25%</t>
  </si>
  <si>
    <t>Decorative furniture is damaged 35%</t>
  </si>
  <si>
    <t>Decorative furniture is damaged 45%</t>
  </si>
  <si>
    <t>Decorative furniture is damaged 50%</t>
  </si>
  <si>
    <t>Landscape is damaged 40%</t>
  </si>
  <si>
    <t>Landscape is damaged 35%</t>
  </si>
  <si>
    <t>Landscape is damaged 30%</t>
  </si>
  <si>
    <t>Landscape is damaged 25%</t>
  </si>
  <si>
    <t>Landscape is damaged 20%</t>
  </si>
  <si>
    <t>Landscape is damaged 15%</t>
  </si>
  <si>
    <t>Landscape is damaged 10%</t>
  </si>
  <si>
    <t>Landscape is damaged 5%</t>
  </si>
  <si>
    <t>Island has minor paver deterioration 10%</t>
  </si>
  <si>
    <t>Island has depression 20% and or paver deterioration 20%</t>
  </si>
  <si>
    <t>Island has depression 30% and or paver deterioration 30%</t>
  </si>
  <si>
    <t>Island has depression 40% and or paver deterioration 40% (safety concern)</t>
  </si>
  <si>
    <t>Island has minor paver deterioration 5%</t>
  </si>
  <si>
    <t>Island has depression 15% and or paver deterioration 15%</t>
  </si>
  <si>
    <t>Island has depression 25% and or paver deterioration 25%</t>
  </si>
  <si>
    <t>Island has depression 35% and or paver deterioration 35% (safety concern)</t>
  </si>
  <si>
    <t>Island has depression 45% and or paver deterioration 45% (safety concern)</t>
  </si>
  <si>
    <t>Island has depression 50% and or paver deterioration 50% (safety concern)</t>
  </si>
  <si>
    <t>Pavement surface has minor deterioration such as cracks, weathering, damaged tiles 5%</t>
  </si>
  <si>
    <t>Pavement surface has minor deterioration such as cracks, weathering, damaged tiles 10%</t>
  </si>
  <si>
    <t>Pavement surface has minor deterioration such as cracks, weathering, damaged tiles 20%</t>
  </si>
  <si>
    <t>Pavement surface has minor deterioration such as cracks, weathering, damaged tiles 25%</t>
  </si>
  <si>
    <t>Pavement surface has minor deterioration such as cracks, weathering, damaged tiles 30%</t>
  </si>
  <si>
    <t>Pavement surface has minor deterioration such as cracks, weathering, damaged tiles 35%</t>
  </si>
  <si>
    <t>Pavement surface has minor deterioration such as cracks, weathering, damaged tiles 40%</t>
  </si>
  <si>
    <t>Pavement surface has minor deterioration such as cracks, weathering, damaged tiles 15%</t>
  </si>
  <si>
    <t>Pavement surface has minor deterioration such as cracks, weathering, damaged tiles 45%</t>
  </si>
  <si>
    <t>Pavement surface has minor deterioration such as cracks, weathering, damaged tiles 50%</t>
  </si>
  <si>
    <t>Pavement surface has minor deterioration such as cracks, weathering 50%</t>
  </si>
  <si>
    <t>Pavement surface has minor deterioration such as cracks, weathering 45%</t>
  </si>
  <si>
    <t>Pavement surface has minor deterioration such as cracks, weathering 40%</t>
  </si>
  <si>
    <t>Pavement surface has minor deterioration such as cracks, weathering 35%</t>
  </si>
  <si>
    <t>Pavement surface has minor deterioration such as cracks, weathering 30%</t>
  </si>
  <si>
    <t>Pavement surface has minor deterioration such as cracks, weathering 25%</t>
  </si>
  <si>
    <t>Pavement surface has minor deterioration such as cracks, weathering 20%</t>
  </si>
  <si>
    <t>Pavement surface has minor deterioration such as cracks, weathering 15%</t>
  </si>
  <si>
    <t>Pavement surface has minor deterioration such as cracks, weathering 10%</t>
  </si>
  <si>
    <t>Pavement surface has minor deterioration such as cracks, weathering 5%</t>
  </si>
  <si>
    <t>Paint Deterioration 5%</t>
  </si>
  <si>
    <t>Paint Deterioration 10%</t>
  </si>
  <si>
    <t>Paint Deterioration 15%</t>
  </si>
  <si>
    <t>Paint Deterioration 20%</t>
  </si>
  <si>
    <t>Paint Deterioration 25%</t>
  </si>
  <si>
    <t>Paint Deterioration 30%</t>
  </si>
  <si>
    <t>Paint Deterioration 35%</t>
  </si>
  <si>
    <t>Paint Deterioration 40%</t>
  </si>
  <si>
    <t>Paint Deterioration 45%</t>
  </si>
  <si>
    <t>Paint Deterioration 50%</t>
  </si>
  <si>
    <t>Damaged components and or loose or missing nuts and bolts 5%</t>
  </si>
  <si>
    <t>Damaged components and or loose or missing nuts and bolts 10%</t>
  </si>
  <si>
    <t>Damaged components and or loose or missing nuts and bolts 15%</t>
  </si>
  <si>
    <t>Damaged components and or loose or missing nuts and bolts 20%</t>
  </si>
  <si>
    <t>Damaged components and or loose or missing nuts and bolts 25%</t>
  </si>
  <si>
    <t>Damaged components and or loose or missing nuts and bolts 30%</t>
  </si>
  <si>
    <t>Damaged components and or loose or missing nuts and bolts 35%</t>
  </si>
  <si>
    <t>Damaged components and or loose or missing nuts and bolts 40% (Safety concern)</t>
  </si>
  <si>
    <t>Damaged components and or loose or missing nuts and bolts 45% (Safety concern)</t>
  </si>
  <si>
    <t>Completely damaged</t>
  </si>
  <si>
    <t>Paint or protective coating Deterioration 5% and or rusting 5%</t>
  </si>
  <si>
    <t>Paint Deterioration 10% and or rusting 10%</t>
  </si>
  <si>
    <t>Paint Deterioration 15% and or rusting 15%</t>
  </si>
  <si>
    <t>Paint Deterioration 20% and or rusting 20%</t>
  </si>
  <si>
    <t>Paint Deterioration 25% and or rusting 25%</t>
  </si>
  <si>
    <t>Paint Deterioration 30% and or rusting 30%</t>
  </si>
  <si>
    <t>Paint Deterioration 35% and or rusting 35%</t>
  </si>
  <si>
    <t>Paint Deterioration 40% and or rusting 40%</t>
  </si>
  <si>
    <t>Paint Deterioration 45% and or rusting 45%</t>
  </si>
  <si>
    <t>Paint Deterioration 50% and or rusting 50%</t>
  </si>
  <si>
    <t>Column Functionality Defects</t>
  </si>
  <si>
    <t>Column Appearance Defects</t>
  </si>
  <si>
    <t>Roof Defects</t>
  </si>
  <si>
    <t>Column Misaligned or damaged completely</t>
  </si>
  <si>
    <t>Column Misaligned 35% and or any other deterioration 35%</t>
  </si>
  <si>
    <t xml:space="preserve">Column Misaligned 30% and or any other deterioration 30% </t>
  </si>
  <si>
    <t xml:space="preserve">Column Misaligned 25% and or any other deterioration 25% </t>
  </si>
  <si>
    <t xml:space="preserve">Column Misaligned 20% and or any other deterioration 20% </t>
  </si>
  <si>
    <t xml:space="preserve">Column Misaligned 10% and or any other deterioration 10% </t>
  </si>
  <si>
    <t xml:space="preserve">Column Misaligned 7% and or any other deterioration 7% </t>
  </si>
  <si>
    <t xml:space="preserve">Column Misaligned 5% and or any other deterioration 5% </t>
  </si>
  <si>
    <t xml:space="preserve">Column Misaligned Minor 2% and or any other minor deterioration 2% </t>
  </si>
  <si>
    <t xml:space="preserve">Column Misaligned Minor 1% and or any other minor deterioration 1% </t>
  </si>
  <si>
    <t>Roof has deterioration and or corrosion 1%</t>
  </si>
  <si>
    <t>Roof has deterioration and or corrosion 2%</t>
  </si>
  <si>
    <t>Roof has deterioration and or corrosion 5%</t>
  </si>
  <si>
    <t>Roof has deterioration and or corrosion 10%</t>
  </si>
  <si>
    <t>Roof has deterioration and or corrosion 15%</t>
  </si>
  <si>
    <t>Roof has deterioration and or corrosion 20%</t>
  </si>
  <si>
    <t>Roof has deterioration and or corrosion 25%</t>
  </si>
  <si>
    <t>Roof has deterioration and or corrosion 30%</t>
  </si>
  <si>
    <t>Roof has deterioration and or corrosion 35%</t>
  </si>
  <si>
    <t>Paint faded or Peeled off 35% with rusting</t>
  </si>
  <si>
    <t>Roof has deterioration and or corrosion 40%</t>
  </si>
  <si>
    <t>Column Functionality Rating (FC)</t>
  </si>
  <si>
    <t>Column Appearance (A)</t>
  </si>
  <si>
    <t>Roof Defects ( R )</t>
  </si>
  <si>
    <t xml:space="preserve">ACI = F </t>
  </si>
  <si>
    <t>ACI = 0.4*F + 0.3*(FC + A) + 0.3*R</t>
  </si>
  <si>
    <t>ACI =0.5*(S)+0.5*(V+P)</t>
  </si>
  <si>
    <t>Select Visibility Defect</t>
  </si>
  <si>
    <t>Select Presence Defect</t>
  </si>
  <si>
    <t>V</t>
  </si>
  <si>
    <t>P</t>
  </si>
  <si>
    <t>The Manhole Cover is damaged 40%</t>
  </si>
  <si>
    <t>The Manhole Cover is damaged more than 40%</t>
  </si>
  <si>
    <t xml:space="preserve">The Manhole Cover is Totally Missing (safety concern) </t>
  </si>
  <si>
    <t>Paint Faded or Peeled off 2%</t>
  </si>
  <si>
    <t>Paint Faded or Peeled off 4%</t>
  </si>
  <si>
    <t>Paint Faded or Peeled off 6%</t>
  </si>
  <si>
    <t>Paint Faded or Peeled off 8%</t>
  </si>
  <si>
    <t>Paint Faded or Peeled off with rusting 10%</t>
  </si>
  <si>
    <t>Paint Faded or Peeled off with rusting 12%</t>
  </si>
  <si>
    <t>Paint Faded or Peeled off with rusting 20%</t>
  </si>
  <si>
    <t>Paint Faded or Peeled off with rusting more than 20%</t>
  </si>
  <si>
    <t>F</t>
  </si>
  <si>
    <t>A</t>
  </si>
  <si>
    <t>Select Functional Defect</t>
  </si>
  <si>
    <t>Select Appearance Defects</t>
  </si>
  <si>
    <t>Please select Appropriate Functional and Appearance Defects</t>
  </si>
  <si>
    <t>SN</t>
  </si>
  <si>
    <t>Asset</t>
  </si>
  <si>
    <t>Manhole</t>
  </si>
  <si>
    <t>Types of Defects Considered</t>
  </si>
  <si>
    <t>Select Appropriate Appearance Defects</t>
  </si>
  <si>
    <t>Select Appropriate Functional Defects</t>
  </si>
  <si>
    <t xml:space="preserve"> </t>
  </si>
  <si>
    <t>Gully</t>
  </si>
  <si>
    <t>Bollards</t>
  </si>
  <si>
    <t>Drainage Point</t>
  </si>
  <si>
    <t>Blockage Defects</t>
  </si>
  <si>
    <t>Concrete Damage Defects</t>
  </si>
  <si>
    <t>Functional Score (F)</t>
  </si>
  <si>
    <t>Appearance Score (A)</t>
  </si>
  <si>
    <t>Blockage Score (BL)</t>
  </si>
  <si>
    <t>Concrete Damage Score (CD)</t>
  </si>
  <si>
    <t>ACI = BL + CD</t>
  </si>
  <si>
    <t>Drainage Points with blockage 10%</t>
  </si>
  <si>
    <t>Drainage Points with blockage 5%</t>
  </si>
  <si>
    <t>Drainage Points with blockage 30%</t>
  </si>
  <si>
    <t>Drainage Points with blockage 60%</t>
  </si>
  <si>
    <t>Drainage Points with blockage more than 60%</t>
  </si>
  <si>
    <t>Concrete Damage 5%</t>
  </si>
  <si>
    <t>Concrete Damage 10%</t>
  </si>
  <si>
    <t>Concrete Damage 30%</t>
  </si>
  <si>
    <t>Concrete Damage 60%</t>
  </si>
  <si>
    <t>Concrete Damage more than 60%</t>
  </si>
  <si>
    <t>Select Appropriate Blockage Defects</t>
  </si>
  <si>
    <t>Select Appropriate Concrete Damage Defects</t>
  </si>
  <si>
    <t>BL</t>
  </si>
  <si>
    <t>CD</t>
  </si>
  <si>
    <t>Select Blockage Defects</t>
  </si>
  <si>
    <t>Select Concrete Damage Defects</t>
  </si>
  <si>
    <t>Please select Appropriate Blockage and Concrete Damage Defects</t>
  </si>
  <si>
    <t>(ACI-MN) Value</t>
  </si>
  <si>
    <t>(ACI-MN) Condition</t>
  </si>
  <si>
    <t>Manhole Asset Condition Index Calculator (ACI-MN)</t>
  </si>
  <si>
    <t>Gully Asset Condition Index Calculator (ACI-GU)</t>
  </si>
  <si>
    <t>(ACI-GU) Value</t>
  </si>
  <si>
    <t>(ACI-GU) Condition</t>
  </si>
  <si>
    <t>Bollards Asset Condition Index Calculator (ACI-BL)</t>
  </si>
  <si>
    <t>(ACI-BL) Value</t>
  </si>
  <si>
    <t>(ACI-BL) Condition</t>
  </si>
  <si>
    <t>Drainage Point Asset Condition Index Calculator (ACI-DP)</t>
  </si>
  <si>
    <t>(ACI-DP) Value</t>
  </si>
  <si>
    <t>(ACI-DP) Condition</t>
  </si>
  <si>
    <t>Rusting around 5% or Sand Accumulation around 5% Not Impacting the Movement of Mechanical Parts</t>
  </si>
  <si>
    <t>Rusting around 1% or Sand Accumulation around 1% Not Impacting the Movement of Mechanical Parts</t>
  </si>
  <si>
    <t>Rusting around 3% or Sand Accumulation around 3% Not Impacting the Movement of Mechanical Parts</t>
  </si>
  <si>
    <t xml:space="preserve">Rusting around 10% or Sand Accumulation around 10% </t>
  </si>
  <si>
    <t xml:space="preserve">Rusting around 10% or Sand Accumulation around 15% </t>
  </si>
  <si>
    <t xml:space="preserve">Rusting around 10% or Sand Accumulation around 20% </t>
  </si>
  <si>
    <t xml:space="preserve">Rusting around 10% or Sand Accumulation around 25% </t>
  </si>
  <si>
    <t xml:space="preserve">Rusting around 10% or Sand Accumulation around 30% </t>
  </si>
  <si>
    <t xml:space="preserve">Rusting around 10% or Sand Accumulation around 35% </t>
  </si>
  <si>
    <t xml:space="preserve">Rusting around 10% or Sand Accumulation around more than 35% </t>
  </si>
  <si>
    <t>Crash Cushion and End Terminal  Asset Condition Index Calculator (ACI-CR-ET)</t>
  </si>
  <si>
    <t xml:space="preserve">Crash Cushion </t>
  </si>
  <si>
    <t>Curb Stones</t>
  </si>
  <si>
    <t xml:space="preserve">Manhole Cover is 5% not levelled with the surface or the surface concrete of Manhole has deterioration 5% </t>
  </si>
  <si>
    <t xml:space="preserve">Manhole Cover is 10% not levelled with the surface or the surface concrete of Manhole has deterioration 10% </t>
  </si>
  <si>
    <t xml:space="preserve">Manhole Cover is 15% not levelled with the surface or the surface concrete of Manhole has deterioration 15% </t>
  </si>
  <si>
    <t xml:space="preserve">Manhole Cover is 25% not levelled with the surface or the surface concrete of Manhole has deterioration 25% </t>
  </si>
  <si>
    <t xml:space="preserve">Manhole Cover is 30% not levelled with the surface or the surface concrete of Manhole has deterioration 25% </t>
  </si>
  <si>
    <t xml:space="preserve">Curbstones are misaligned or deteriorated 5% </t>
  </si>
  <si>
    <t xml:space="preserve">Curbstones are misaligned or deteriorated 10% </t>
  </si>
  <si>
    <t xml:space="preserve">Curbstones are misaligned or deteriorated 15% </t>
  </si>
  <si>
    <t xml:space="preserve">Curbstones are misaligned or deteriorated 20% </t>
  </si>
  <si>
    <t xml:space="preserve">Curbstones are misaligned or deteriorated 25% </t>
  </si>
  <si>
    <t xml:space="preserve">Curbstones are misaligned or deteriorated 30% </t>
  </si>
  <si>
    <t xml:space="preserve">Curbstones are misaligned or deteriorated 40% </t>
  </si>
  <si>
    <t>Curbstones are misaligned or deteriorated more than 40% or completely missing</t>
  </si>
  <si>
    <t>Paint Faded or Peeled 10%</t>
  </si>
  <si>
    <t>Paint Faded or Peeled 12%</t>
  </si>
  <si>
    <t>Paint Faded or Peeled  20%</t>
  </si>
  <si>
    <t>Paint Faded or Peeled off more than 20%</t>
  </si>
  <si>
    <t>Curbstone Asset Condition Index Calculator (ACI-CS)</t>
  </si>
  <si>
    <t>(ACI-CR-ET) Value</t>
  </si>
  <si>
    <t>(ACI-CR-ET) Condition</t>
  </si>
  <si>
    <t>(ACI-CS) Value</t>
  </si>
  <si>
    <t>(ACI-CS) Condition</t>
  </si>
  <si>
    <t>Access</t>
  </si>
  <si>
    <t>Limited</t>
  </si>
  <si>
    <t>Minimum RL for Whilte Lane Marking</t>
  </si>
  <si>
    <t>Minimum RL for Yellow Lane marking</t>
  </si>
  <si>
    <t>Without Limited Access</t>
  </si>
  <si>
    <t>Road Type</t>
  </si>
  <si>
    <t>Road Marking Asset Condition Index Calculator (ACI-RM)</t>
  </si>
  <si>
    <t>A. If Retroreflectivity (RL) Data is Available</t>
  </si>
  <si>
    <t>Input Measured Retroreflectivity (RL) Value</t>
  </si>
  <si>
    <t>Select Appropriate Presence Defects</t>
  </si>
  <si>
    <t>Select Visibility Defects</t>
  </si>
  <si>
    <t>Select Presence Defects</t>
  </si>
  <si>
    <t>Please select appropriate visibility defects</t>
  </si>
  <si>
    <t>Please select appropriate Presence Defects</t>
  </si>
  <si>
    <t xml:space="preserve">B. If Only Visual Inspection Data is Available </t>
  </si>
  <si>
    <t>Select Appropriate Visible Defects Defects</t>
  </si>
  <si>
    <t>Select Road Type</t>
  </si>
  <si>
    <t>Select Rad Marking Color</t>
  </si>
  <si>
    <t>E &amp; D Roads with limited access</t>
  </si>
  <si>
    <t>D Roads without limited access</t>
  </si>
  <si>
    <t>Color</t>
  </si>
  <si>
    <t>White</t>
  </si>
  <si>
    <t>Yellow</t>
  </si>
  <si>
    <t>Minimum RL Values</t>
  </si>
  <si>
    <t>link</t>
  </si>
  <si>
    <t>(ACI-RM) Value</t>
  </si>
  <si>
    <t>(ACI-RM) Condition</t>
  </si>
  <si>
    <t>Road Marking</t>
  </si>
  <si>
    <t>Guardrail is functional with 5% damage</t>
  </si>
  <si>
    <t>Guardrail is functional with 10% damage</t>
  </si>
  <si>
    <t>Guardrail is functional with 15% damage</t>
  </si>
  <si>
    <t>Guardrail is functional with 20% damage</t>
  </si>
  <si>
    <t>Guardrail is having functionality issues with 25% damage</t>
  </si>
  <si>
    <t>Guardrail is having functionality issues with 30% damage</t>
  </si>
  <si>
    <t>Guardrail is having functionality issues with 40% damage</t>
  </si>
  <si>
    <t>Guardrail is no longer functional with damages more than 40%</t>
  </si>
  <si>
    <t>Guardrail  protective coating deteriorated 5%</t>
  </si>
  <si>
    <t>Guardrail  protective coating deteriorated 10%</t>
  </si>
  <si>
    <t>Guardrail  protective coating deteriorated or rusted or missing reflectors 15%</t>
  </si>
  <si>
    <t>Guardrail  protective coating deteriorated or rusted or missing reflectors 20%</t>
  </si>
  <si>
    <t>Guardrail  protective coating deteriorated or rusted or missing reflectors 25%</t>
  </si>
  <si>
    <t>Guardrail  protective coating deteriorated or rusted or missing reflectors 30%</t>
  </si>
  <si>
    <t>Guardrail  protective coating deteriorated or rusted or missing reflectors 40%</t>
  </si>
  <si>
    <t>Guardrail  protective coating deteriorated or rusted or missing reflectors more than 40%</t>
  </si>
  <si>
    <t>(ACI-GR) Value</t>
  </si>
  <si>
    <t>(ACI-GR) Condition</t>
  </si>
  <si>
    <t>Guardrail</t>
  </si>
  <si>
    <t>Guardrail Asset Condition Index Calculator (ACI-GR)</t>
  </si>
  <si>
    <t>Fence Asset Condition Index Calculator (ACI-FE)</t>
  </si>
  <si>
    <t>Fence</t>
  </si>
  <si>
    <t>(ACI-FE) Value</t>
  </si>
  <si>
    <t>(ACI-FE) Condition</t>
  </si>
  <si>
    <t>Foundation has Surface Deterioration or rusting 6%</t>
  </si>
  <si>
    <t>Foundation has Surface Deterioration or rusting 8%</t>
  </si>
  <si>
    <t>Foundation has Surface Deterioration or rusting 10%</t>
  </si>
  <si>
    <t>Foundation has Surface Deterioration or rusting 15%</t>
  </si>
  <si>
    <t>Foundation has Surface Deterioration  or rusting 20%</t>
  </si>
  <si>
    <t>Foundation has Surface Deterioration or rusting 25%</t>
  </si>
  <si>
    <t>Foundation has Surface Deterioration  or rusting 30%</t>
  </si>
  <si>
    <t>Gantry Post and/or Beam has 15% rusting / deterioration effecting the functionality of the structure</t>
  </si>
  <si>
    <t>Gantry Post and/or Beam has 20% rusting / deterioration effecting the functionality of the structure</t>
  </si>
  <si>
    <t>Gantry Post and/or Beam has 25% rusting / deterioration effecting the functionality of the structure</t>
  </si>
  <si>
    <t>Gantry Post and/or Beam has 30% rusting / deterioration effecting the functionality of the structure</t>
  </si>
  <si>
    <t>Visibility</t>
  </si>
  <si>
    <t>Presence</t>
  </si>
  <si>
    <t xml:space="preserve">Founation Condition (ACI-RG-F) </t>
  </si>
  <si>
    <t xml:space="preserve">Structure Condition (ACI-RG-S) </t>
  </si>
  <si>
    <t xml:space="preserve">Gantry Sign Condition (ACI-RG-GS) </t>
  </si>
  <si>
    <t>Visibility Score</t>
  </si>
  <si>
    <t>Presence Score</t>
  </si>
  <si>
    <t>Gantry Sign Score</t>
  </si>
  <si>
    <t>In-service gantry sign with 90% visibility</t>
  </si>
  <si>
    <t>In-service gantry sign with 80% visibility</t>
  </si>
  <si>
    <t>In-service gantry sign with 70% visibility</t>
  </si>
  <si>
    <t>In-service gantry sign with 60% visibility</t>
  </si>
  <si>
    <t>In-service gantry sign with 50% visibility</t>
  </si>
  <si>
    <t>In-service gantry sign with 40% visibility</t>
  </si>
  <si>
    <t>In-service gantry sign with 30% visibility</t>
  </si>
  <si>
    <t>In-service gantry sign with 20% visibility</t>
  </si>
  <si>
    <t>In-service gantry sign with 10% visibility</t>
  </si>
  <si>
    <t>In-service gantry sign with visibility less than 10%</t>
  </si>
  <si>
    <t>In-service gantry sign with 2% fading</t>
  </si>
  <si>
    <t xml:space="preserve">In-service gantry sign with 5% fading </t>
  </si>
  <si>
    <t>In-service gantry sign with 10% fading</t>
  </si>
  <si>
    <t>In-service gantry sign with 20% fading</t>
  </si>
  <si>
    <t xml:space="preserve">In-service gantry sign with 25% fading </t>
  </si>
  <si>
    <t>In-service gantry sign with 30% fading or damages 20%</t>
  </si>
  <si>
    <t>In-service gantry sign with 35% fading or damages 25%</t>
  </si>
  <si>
    <t>In-service gantry sign with 40% fading or damages 30%</t>
  </si>
  <si>
    <t>In-service gantry sign with 50% fading or damages 40%</t>
  </si>
  <si>
    <t>In-service gantry sign barely visible or severely damaged more than 40%</t>
  </si>
  <si>
    <t>Observation Angle</t>
  </si>
  <si>
    <t>Entrance Angle</t>
  </si>
  <si>
    <t>Orange</t>
  </si>
  <si>
    <t>Green</t>
  </si>
  <si>
    <t>Red</t>
  </si>
  <si>
    <t>Blue</t>
  </si>
  <si>
    <t>Brown</t>
  </si>
  <si>
    <t>RL Value</t>
  </si>
  <si>
    <t>Link</t>
  </si>
  <si>
    <t>Select Foundation Defect</t>
  </si>
  <si>
    <t>Select Structure Defects</t>
  </si>
  <si>
    <t>Road Gantry Asset Condition Index Calculator (ACI-RG)</t>
  </si>
  <si>
    <t>Select Observation Angle</t>
  </si>
  <si>
    <t>Select Entrance Angle</t>
  </si>
  <si>
    <t>Select Color</t>
  </si>
  <si>
    <t>Select Foundation Defects</t>
  </si>
  <si>
    <t>Select Gantry Sign Defects</t>
  </si>
  <si>
    <t>Retroreflectivity Input</t>
  </si>
  <si>
    <t>Yes</t>
  </si>
  <si>
    <t>No</t>
  </si>
  <si>
    <t>Road Gantry</t>
  </si>
  <si>
    <t>Road Gantry Sign Visibility Defects</t>
  </si>
  <si>
    <t>Road Gantry Sign Presence Defects</t>
  </si>
  <si>
    <t>Structure Defects</t>
  </si>
  <si>
    <t>-</t>
  </si>
  <si>
    <t>S</t>
  </si>
  <si>
    <t>Fill the RL Data</t>
  </si>
  <si>
    <t>(ACI-RG) Value</t>
  </si>
  <si>
    <t>(ACI-RG) Condition</t>
  </si>
  <si>
    <t>Barrier</t>
  </si>
  <si>
    <t>New Jersey Barrier Asset Condition Index Calculator (ACI-JB)</t>
  </si>
  <si>
    <t>(ACI-JB) Value</t>
  </si>
  <si>
    <t>(ACI-JB) Condition</t>
  </si>
  <si>
    <t>Road Studs Asset Condition Index Calculator (ACI-SD)</t>
  </si>
  <si>
    <t>(ACI-SD) Value</t>
  </si>
  <si>
    <t>(ACI-SD) Condition</t>
  </si>
  <si>
    <t>Road Stud</t>
  </si>
  <si>
    <t xml:space="preserve">Footpath has Deteriorated Pavers (Weathered / cracked / damaged) 1%, and or Depression / Settlement 1% and or Missing Pavers 1% </t>
  </si>
  <si>
    <t xml:space="preserve">Footpath has Deteriorated Pavers (Weathered / cracked / damaged) 40%, and or Depression / Settlement 40% and or Missing Pavers 40% </t>
  </si>
  <si>
    <t xml:space="preserve">Footpath has Deteriorated Pavers (Weathered / cracked / damaged) 35%, and or Depression / Settlement 35% and or Missing Pavers 35% </t>
  </si>
  <si>
    <t xml:space="preserve">Footpath has Deteriorated Pavers (Weathered / cracked / damaged) 30%, and or Depression / Settlement 30% and or Missing Pavers 30% </t>
  </si>
  <si>
    <t xml:space="preserve">Footpath has Deteriorated Pavers (Weathered / cracked / damaged) 25%, and or Depression / Settlement 25% and or Missing Pavers 25% </t>
  </si>
  <si>
    <t xml:space="preserve">Footpath has Deteriorated Pavers (Weathered / cracked / damaged) 20%, and or Depression / Settlement 20% and or Missing Pavers 20% </t>
  </si>
  <si>
    <t xml:space="preserve">Footpath has Deteriorated Pavers (Weathered / cracked / damaged) 15%, and or Depression / Settlement 15% and or Missing Pavers 15% </t>
  </si>
  <si>
    <t xml:space="preserve">Footpath has Deteriorated Pavers (Weathered / cracked / damaged) 10%, and or Depression / Settlement 10% and or Missing Pavers 10% </t>
  </si>
  <si>
    <t xml:space="preserve">Footpath has Deteriorated Pavers (Weathered / cracked / damaged) 5%, and or Depression / Settlement 5% and or Missing Pavers 5% </t>
  </si>
  <si>
    <t xml:space="preserve">Footpath has Deteriorated Pavers (Weathered / cracked / damaged) 3%, and or Depression / Settlement 3% and or Missing Pavers 3% </t>
  </si>
  <si>
    <t>Footpath Asset Condition Index Calculator (ACI-FP)</t>
  </si>
  <si>
    <t>(ACI-FP) Value</t>
  </si>
  <si>
    <t>(ACI-FP) Condition</t>
  </si>
  <si>
    <t>Footpath</t>
  </si>
  <si>
    <t>Medium Depression and or other  deteriorations 20%</t>
  </si>
  <si>
    <t>Minor Deterioration 1%</t>
  </si>
  <si>
    <t xml:space="preserve">Paint Faded and or deteriorated 1% </t>
  </si>
  <si>
    <t xml:space="preserve">Paint Faded and or deteriorated 20% </t>
  </si>
  <si>
    <t xml:space="preserve">Paint Faded and or deteriorated 30% </t>
  </si>
  <si>
    <t xml:space="preserve">Paint Faded and or deteriorated 35% </t>
  </si>
  <si>
    <t>High Depression and or other deteriorations 30%</t>
  </si>
  <si>
    <t>High Depression and or other deteriorations 35%</t>
  </si>
  <si>
    <t>High Depression and or other deteriorations more than 40%</t>
  </si>
  <si>
    <t>Low Depression and or other deteriorations 10%</t>
  </si>
  <si>
    <t>Low Depression and or other deteriorations 15%</t>
  </si>
  <si>
    <t>Medium Depression and or other deteriorations 25%</t>
  </si>
  <si>
    <t xml:space="preserve">Paint Faded and or deteriorated more than 40% </t>
  </si>
  <si>
    <t>Road Hump Asset Condition Index Calculator (ACI-RH)</t>
  </si>
  <si>
    <t>Select Appropriate Structural Defects</t>
  </si>
  <si>
    <t>(ACI-RH) Value</t>
  </si>
  <si>
    <t>(ACI-RH) Condition</t>
  </si>
  <si>
    <t>Road Hump</t>
  </si>
  <si>
    <t>Depression and or  paver damages and or other deteriorations more than 40%</t>
  </si>
  <si>
    <t>Pedestrian Crosssing  Asset Condition Index Calculator (ACI-PC)</t>
  </si>
  <si>
    <t>Select Structural Defects</t>
  </si>
  <si>
    <t>(ACI-PC) Value</t>
  </si>
  <si>
    <t>(ACI-PC) Condition</t>
  </si>
  <si>
    <t>B. For Levelled Pedestrian Crossing</t>
  </si>
  <si>
    <t>A. For Raised Pedestrian Crossing</t>
  </si>
  <si>
    <t>Select Pedestrian Marking  Defects</t>
  </si>
  <si>
    <t>Pedestrian Crossing (Raised)</t>
  </si>
  <si>
    <t>Pedestrian Crossing (Levelled)</t>
  </si>
  <si>
    <t>Camel Grid Asset Condition Index Calculator (ACI-CG)</t>
  </si>
  <si>
    <t>(ACI-CG) Value</t>
  </si>
  <si>
    <t>(ACI-CG) Condition</t>
  </si>
  <si>
    <t>Camel Grid</t>
  </si>
  <si>
    <t>Column Misaligned or damaged more than 35%</t>
  </si>
  <si>
    <t>Select Appropriate Foundation Defects</t>
  </si>
  <si>
    <t>Select Appropriate Functionality Defects</t>
  </si>
  <si>
    <t>Select Appropriate Roof Defects</t>
  </si>
  <si>
    <t>Select Appropriate Column Defects</t>
  </si>
  <si>
    <t>R</t>
  </si>
  <si>
    <t>Pergola</t>
  </si>
  <si>
    <t>Pergola Asset Condition Index Calculator (ACI-PG)</t>
  </si>
  <si>
    <t>(ACI-PG) Value</t>
  </si>
  <si>
    <t>(ACI-PG) Condition</t>
  </si>
  <si>
    <t>Public Shed Asset Condition Index Calculator (ACI-PS)</t>
  </si>
  <si>
    <t>(ACI-PS) Value</t>
  </si>
  <si>
    <t>(ACI-PS) Condition</t>
  </si>
  <si>
    <t>Public Shed</t>
  </si>
  <si>
    <t>Decorative Furniture Asset Condition Index Calculator (ACI-DF)</t>
  </si>
  <si>
    <t>(ACI-DF) Value</t>
  </si>
  <si>
    <t>(ACI-DF) Condition</t>
  </si>
  <si>
    <t>Decorative Furniture</t>
  </si>
  <si>
    <t>Parking Tent Asset Condition Index Calculator (ACI-PT)</t>
  </si>
  <si>
    <t>(ACI-PT) Value</t>
  </si>
  <si>
    <t>(ACI-PT) Condition</t>
  </si>
  <si>
    <t>Parking tent</t>
  </si>
  <si>
    <t>Landscape Asset Condition Index Calculator (ACI-LS)</t>
  </si>
  <si>
    <t>(ACI-LS) Value</t>
  </si>
  <si>
    <t>(ACI-LS) Condition</t>
  </si>
  <si>
    <t>Landscape is damaged 1%</t>
  </si>
  <si>
    <t>Landscape is damaged more than 40%</t>
  </si>
  <si>
    <t>Landscape</t>
  </si>
  <si>
    <t>Benches Asset Condition Index Calculator (ACI-BE)</t>
  </si>
  <si>
    <t>Deterioration of wooden/Concrete/Granite/Marble/Plastic components and or rusting in metal components 15%</t>
  </si>
  <si>
    <t>Deterioration of wooden/Concrete/Granite/Marble/Plastic components and or rusting in metal components 20%</t>
  </si>
  <si>
    <t>Deterioration of wooden/Concrete/Granite/Marble/Plastic components and or rusting  in metal components 25%</t>
  </si>
  <si>
    <t>Deterioration of wooden/Concrete/Granite/Marble/Plastic components and or rusting  in metal components 30%</t>
  </si>
  <si>
    <t>Deterioration of wooden/Concrete/Granite/Marble/Plastic components and or rusting  in metal components 35%</t>
  </si>
  <si>
    <t>Deterioration of wooden/Concrete/Granite/Marble/Plastic components and or rusting  in metal components 40%</t>
  </si>
  <si>
    <t>Deterioration of wooden/Concrete/Granite/Marble/Plastic components and or rusting  in metal components 45%</t>
  </si>
  <si>
    <t>Deterioration of wooden/Concrete/Granite/Marble/Plastic components and or rusting  in metal components more than 45%</t>
  </si>
  <si>
    <t>Very minor Deterioration of wooden/Concrete/Granite/Marble/Plastic components and or rusting in metal components 5%</t>
  </si>
  <si>
    <t>Minor Deterioration of wooden/Concrete/Granite/Marble/Plastic components and or rusting in metal components 10%</t>
  </si>
  <si>
    <t>Bench</t>
  </si>
  <si>
    <t>Cycle Rack Asset Condition Index Calculator (ACI-CY)</t>
  </si>
  <si>
    <t>(ACI-BE) Value</t>
  </si>
  <si>
    <t>(ACI-BE) Condition</t>
  </si>
  <si>
    <t>(ACI-CY) Value</t>
  </si>
  <si>
    <t>(ACI-CY) Condition</t>
  </si>
  <si>
    <t>Cycle Rack</t>
  </si>
  <si>
    <t>Island</t>
  </si>
  <si>
    <t>Island Asset Condition Index Calculator (ACI-IS)</t>
  </si>
  <si>
    <t>(ACI-IS) Value</t>
  </si>
  <si>
    <t>(ACI-IS) Condition</t>
  </si>
  <si>
    <t>road sign face</t>
  </si>
  <si>
    <t>road sign pole</t>
  </si>
  <si>
    <t>Road Sign Asset Condition Index Calculator (ACI-RS)</t>
  </si>
  <si>
    <t>If Retroreflectivity (RL) Data is Available</t>
  </si>
  <si>
    <t>If Retroreflectivity (RL) Data is Not Available</t>
  </si>
  <si>
    <t>(ACI-RS-F) Value</t>
  </si>
  <si>
    <t>(ACI-RS-F) Condition</t>
  </si>
  <si>
    <t>B. Road Sign Pole Condition (ACI-RS-P)</t>
  </si>
  <si>
    <t>A. Road Sign Face Condition (ACI-RS-F)</t>
  </si>
  <si>
    <t>Select Functional Defects</t>
  </si>
  <si>
    <t>(ACI-RG-P) Value</t>
  </si>
  <si>
    <t>(ACI-RG-P) Condition</t>
  </si>
  <si>
    <t>Road Sign</t>
  </si>
  <si>
    <t>Road Sign Pole Functional Defects</t>
  </si>
  <si>
    <t>Road Sign Pole Appearance Defects</t>
  </si>
  <si>
    <t>Road Sign Face Visibility Defects</t>
  </si>
  <si>
    <t>Road Sign Face Presence Defects</t>
  </si>
  <si>
    <t>Wooden Deck</t>
  </si>
  <si>
    <t>Jogging track</t>
  </si>
  <si>
    <t>Functionality Defects</t>
  </si>
  <si>
    <t>Wooden Deck has depression 1% and or misalinged 1% and or damaged 1% and or missing components 1%</t>
  </si>
  <si>
    <t>Wooden Deck has depression 2% and or misalinged 2% and or damaged 2% and or missing components 2%</t>
  </si>
  <si>
    <t>Wooden Deck has depression 5% and or misalinged 5% and or damaged 5% and or missing components 5%</t>
  </si>
  <si>
    <t>Wooden Deck has depression 10% and or misalinged 10% and or damaged 10% and or missing components 10%</t>
  </si>
  <si>
    <t>Wooden Deck has depression 20% and or misalinged 20% and or damaged 20% and or missing components 20%</t>
  </si>
  <si>
    <t>Wooden Deck has depression 25% and or misalinged 25% and or damaged 25% and or missing components 25%</t>
  </si>
  <si>
    <t>Wooden Deck has depression 30% and or misalinged 30% and or damaged 30% and or missing components 30%</t>
  </si>
  <si>
    <t>Wooden Deck has depression 35% and or misalinged 35% and or damaged 35% and or missing components 35%</t>
  </si>
  <si>
    <t>Wooden Deck has depression 40% and or misalinged 40% and or damaged 40% and or missing components 40%</t>
  </si>
  <si>
    <t>Wooden Deck has depression more than 40% and or misalinged more than 40% and or damaged more than 40% and or missing components more than 40%</t>
  </si>
  <si>
    <t>Wooden Deck Asset Condition Index Calculator (ACI-WD)</t>
  </si>
  <si>
    <t>Select Appropriate Functionalityl Defects</t>
  </si>
  <si>
    <t>(ACI-WD) Value</t>
  </si>
  <si>
    <t>(ACI-WD) Condition</t>
  </si>
  <si>
    <t>Jogging Track Asset Condition Index Calculator (ACI-JT)</t>
  </si>
  <si>
    <t>(ACI-JT) Value</t>
  </si>
  <si>
    <t>(ACI-JT) Condition</t>
  </si>
  <si>
    <t>Jogging Track has depression 1% and or damaged (worn out or torn) 1%</t>
  </si>
  <si>
    <t>Jogging Track has depression 2% and or damaged (worn out or torn) 2%</t>
  </si>
  <si>
    <t>Jogging Track has depression 5% and or damaged (worn out or torn) 5%</t>
  </si>
  <si>
    <t>Jogging Track has depression 10% and or damaged (worn out or torn) 10%</t>
  </si>
  <si>
    <t>Jogging Track has depression 20% and or damaged (worn out or torn) 20%</t>
  </si>
  <si>
    <t>Jogging Track has depression 25% and or damaged (worn out or torn) 25%</t>
  </si>
  <si>
    <t>Jogging Track has depression 30% and or damaged (worn out or torn) 30%</t>
  </si>
  <si>
    <t>Jogging Track has depression 35% and or damaged (worn out or torn) 35%</t>
  </si>
  <si>
    <t>Jogging Track has depression 40% and or damaged (worn out or torn) 40%</t>
  </si>
  <si>
    <t>Jogging Track has depression more than 40% and or damaged (worn out or torn) more than 40%</t>
  </si>
  <si>
    <t>Select The Ancillary Asset to Calculate the ACI</t>
  </si>
  <si>
    <t>Select the Asset</t>
  </si>
  <si>
    <t>Select the Functional Defects</t>
  </si>
  <si>
    <t>Select the Appearance Defects</t>
  </si>
  <si>
    <t>ACI</t>
  </si>
  <si>
    <t>Good, Fair, Poor</t>
  </si>
  <si>
    <t>Value</t>
  </si>
  <si>
    <t>Visibility Assessment</t>
  </si>
  <si>
    <t>RL</t>
  </si>
  <si>
    <t>Visual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</si>
</sst>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indexed="8"/>
      <name val="Aptos Narrow"/>
      <family val="2"/>
      <scheme val="minor"/>
    </font>
    <font>
      <sz val="11"/>
      <color theme="1"/>
      <name val="Dubai"/>
      <family val="2"/>
    </font>
    <font>
      <sz val="11"/>
      <color theme="1"/>
      <name val="Aptos Display"/>
      <family val="2"/>
      <scheme val="maj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indexed="8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i/>
      <sz val="11"/>
      <color indexed="8"/>
      <name val="Aptos Narrow"/>
      <family val="2"/>
      <scheme val="minor"/>
    </font>
    <font>
      <sz val="11"/>
      <color indexed="8"/>
      <name val="Aptos Narrow"/>
      <family val="2"/>
      <scheme val="minor"/>
    </font>
    <font>
      <b/>
      <sz val="18"/>
      <color theme="0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b/>
      <sz val="11"/>
      <color rgb="FFFFFFFF"/>
      <name val="Dubai"/>
      <family val="2"/>
    </font>
    <font>
      <sz val="11"/>
      <name val="Dubai"/>
      <family val="2"/>
    </font>
    <font>
      <b/>
      <sz val="14"/>
      <color rgb="FFC000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1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97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0" fontId="3" fillId="2" borderId="1" xfId="0" applyFont="1" applyFill="1" applyBorder="1"/>
    <xf numFmtId="0" fontId="3" fillId="2" borderId="1" xfId="0" applyFont="1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0" borderId="1" xfId="0" applyFont="1" applyBorder="1"/>
    <xf numFmtId="0" fontId="0" fillId="0" borderId="1" xfId="0" applyBorder="1" applyAlignment="1">
      <alignment vertical="center"/>
    </xf>
    <xf numFmtId="0" fontId="5" fillId="0" borderId="1" xfId="0" applyFont="1" applyBorder="1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/>
    <xf numFmtId="0" fontId="3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0" borderId="0" xfId="0" applyAlignment="1">
      <alignment wrapText="1"/>
    </xf>
    <xf numFmtId="0" fontId="0" fillId="0" borderId="1" xfId="0" applyBorder="1" applyAlignment="1">
      <alignment horizontal="left" vertical="center"/>
    </xf>
    <xf numFmtId="0" fontId="6" fillId="0" borderId="1" xfId="0" applyFont="1" applyBorder="1" applyAlignment="1">
      <alignment vertical="center"/>
    </xf>
    <xf numFmtId="0" fontId="6" fillId="0" borderId="1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3" fillId="0" borderId="0" xfId="0" applyFont="1" applyAlignment="1">
      <alignment horizontal="center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1" xfId="0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wrapText="1"/>
    </xf>
    <xf numFmtId="0" fontId="6" fillId="0" borderId="1" xfId="0" applyFont="1" applyBorder="1"/>
    <xf numFmtId="0" fontId="3" fillId="0" borderId="1" xfId="0" applyFont="1" applyBorder="1" applyAlignment="1">
      <alignment horizontal="center" vertical="center"/>
    </xf>
    <xf numFmtId="0" fontId="9" fillId="3" borderId="1" xfId="0" applyFont="1" applyFill="1" applyBorder="1" applyAlignment="1">
      <alignment horizontal="right"/>
    </xf>
    <xf numFmtId="0" fontId="9" fillId="3" borderId="1" xfId="0" applyFont="1" applyFill="1" applyBorder="1" applyAlignment="1">
      <alignment horizontal="center"/>
    </xf>
    <xf numFmtId="0" fontId="4" fillId="0" borderId="1" xfId="0" applyFont="1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11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3" fillId="2" borderId="1" xfId="0" applyFont="1" applyFill="1" applyBorder="1" applyAlignment="1">
      <alignment horizontal="left"/>
    </xf>
    <xf numFmtId="0" fontId="3" fillId="0" borderId="1" xfId="0" applyFont="1" applyBorder="1" applyAlignment="1">
      <alignment horizontal="center"/>
    </xf>
    <xf numFmtId="0" fontId="2" fillId="0" borderId="1" xfId="0" applyFont="1" applyBorder="1"/>
    <xf numFmtId="0" fontId="13" fillId="6" borderId="0" xfId="0" applyFont="1" applyFill="1" applyAlignment="1">
      <alignment horizontal="left" vertical="center"/>
    </xf>
    <xf numFmtId="0" fontId="12" fillId="5" borderId="0" xfId="0" applyFont="1" applyFill="1" applyAlignment="1">
      <alignment horizontal="left"/>
    </xf>
    <xf numFmtId="0" fontId="2" fillId="0" borderId="1" xfId="0" applyFont="1" applyBorder="1" applyAlignment="1">
      <alignment horizontal="center" vertical="center"/>
    </xf>
    <xf numFmtId="0" fontId="3" fillId="7" borderId="0" xfId="0" applyFont="1" applyFill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14" fillId="3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4" fillId="3" borderId="4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16" fillId="0" borderId="0" xfId="0" applyFont="1"/>
    <xf numFmtId="0" fontId="2" fillId="0" borderId="0" xfId="0" applyFont="1" applyAlignment="1">
      <alignment horizontal="center" vertical="center" wrapText="1"/>
    </xf>
    <xf numFmtId="0" fontId="17" fillId="3" borderId="1" xfId="0" applyFont="1" applyFill="1" applyBorder="1" applyAlignment="1">
      <alignment horizontal="right" vertical="center"/>
    </xf>
    <xf numFmtId="0" fontId="17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vertical="center" wrapText="1"/>
    </xf>
    <xf numFmtId="0" fontId="3" fillId="0" borderId="0" xfId="0" applyFont="1" applyAlignment="1">
      <alignment vertical="center" wrapText="1"/>
    </xf>
    <xf numFmtId="0" fontId="0" fillId="0" borderId="1" xfId="0" applyBorder="1" applyAlignment="1">
      <alignment wrapText="1"/>
    </xf>
    <xf numFmtId="0" fontId="10" fillId="0" borderId="0" xfId="0" applyFont="1" applyAlignment="1">
      <alignment horizontal="center" vertical="center"/>
    </xf>
    <xf numFmtId="0" fontId="13" fillId="0" borderId="0" xfId="0" applyFont="1" applyAlignment="1">
      <alignment horizontal="left" vertical="center"/>
    </xf>
    <xf numFmtId="0" fontId="2" fillId="0" borderId="1" xfId="0" applyFont="1" applyBorder="1" applyAlignment="1">
      <alignment horizontal="right"/>
    </xf>
    <xf numFmtId="0" fontId="2" fillId="0" borderId="1" xfId="0" applyFont="1" applyBorder="1" applyAlignment="1">
      <alignment horizontal="center"/>
    </xf>
    <xf numFmtId="0" fontId="9" fillId="3" borderId="1" xfId="0" applyFont="1" applyFill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0" fontId="9" fillId="4" borderId="2" xfId="0" applyFont="1" applyFill="1" applyBorder="1" applyAlignment="1">
      <alignment horizontal="center" vertical="center"/>
    </xf>
    <xf numFmtId="0" fontId="9" fillId="4" borderId="5" xfId="0" applyFont="1" applyFill="1" applyBorder="1" applyAlignment="1">
      <alignment horizontal="center" vertical="center"/>
    </xf>
    <xf numFmtId="0" fontId="9" fillId="4" borderId="3" xfId="0" applyFont="1" applyFill="1" applyBorder="1" applyAlignment="1">
      <alignment horizontal="center" vertical="center"/>
    </xf>
    <xf numFmtId="0" fontId="12" fillId="5" borderId="0" xfId="0" applyFont="1" applyFill="1" applyAlignment="1">
      <alignment horizontal="center"/>
    </xf>
    <xf numFmtId="0" fontId="12" fillId="5" borderId="0" xfId="0" applyFont="1" applyFill="1" applyAlignment="1">
      <alignment horizontal="center" wrapText="1"/>
    </xf>
    <xf numFmtId="0" fontId="12" fillId="5" borderId="0" xfId="0" applyFont="1" applyFill="1" applyAlignment="1">
      <alignment horizontal="left"/>
    </xf>
    <xf numFmtId="0" fontId="13" fillId="6" borderId="0" xfId="0" applyFont="1" applyFill="1" applyAlignment="1">
      <alignment horizontal="left" vertical="center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12" fillId="5" borderId="0" xfId="0" applyFont="1" applyFill="1" applyAlignment="1">
      <alignment horizontal="center" vertical="center" wrapText="1"/>
    </xf>
    <xf numFmtId="0" fontId="16" fillId="0" borderId="0" xfId="0" applyFont="1" applyAlignment="1">
      <alignment horizontal="left" vertical="center"/>
    </xf>
    <xf numFmtId="0" fontId="16" fillId="0" borderId="8" xfId="0" applyFont="1" applyBorder="1" applyAlignment="1">
      <alignment horizontal="left" vertical="center"/>
    </xf>
    <xf numFmtId="0" fontId="0" fillId="8" borderId="1" xfId="0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1133475</xdr:colOff>
      <xdr:row>7</xdr:row>
      <xdr:rowOff>1</xdr:rowOff>
    </xdr:from>
    <xdr:to>
      <xdr:col>2</xdr:col>
      <xdr:colOff>552453</xdr:colOff>
      <xdr:row>9</xdr:row>
      <xdr:rowOff>171451</xdr:rowOff>
    </xdr:to>
    <xdr:cxnSp macro="">
      <xdr:nvCxnSpPr>
        <xdr:cNvPr id="11" name="Connector: Elbow 10">
          <a:extLst>
            <a:ext uri="{FF2B5EF4-FFF2-40B4-BE49-F238E27FC236}">
              <a16:creationId xmlns:a16="http://schemas.microsoft.com/office/drawing/2014/main" id="{9FEA26AA-B9A8-2643-73E6-30AFD909D4C4}"/>
            </a:ext>
          </a:extLst>
        </xdr:cNvPr>
        <xdr:cNvCxnSpPr/>
      </xdr:nvCxnSpPr>
      <xdr:spPr>
        <a:xfrm rot="5400000">
          <a:off x="2390777" y="2152649"/>
          <a:ext cx="704850" cy="666753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3B12A9-45EB-4DC2-9E02-92825834B7A6}">
  <dimension ref="A2:B9"/>
  <sheetViews>
    <sheetView tabSelected="1" workbookViewId="0">
      <selection activeCell="Q14" sqref="Q14"/>
    </sheetView>
  </sheetViews>
  <sheetFormatPr defaultRowHeight="15" x14ac:dyDescent="0.25"/>
  <cols>
    <col min="1" max="1" width="40.7109375" bestFit="1" customWidth="1"/>
    <col min="2" max="2" width="14.5703125" bestFit="1" customWidth="1"/>
  </cols>
  <sheetData>
    <row r="2" spans="1:2" x14ac:dyDescent="0.25">
      <c r="A2" t="s">
        <v>785</v>
      </c>
      <c r="B2" t="s">
        <v>786</v>
      </c>
    </row>
    <row r="4" spans="1:2" x14ac:dyDescent="0.25">
      <c r="A4" t="s">
        <v>787</v>
      </c>
    </row>
    <row r="5" spans="1:2" x14ac:dyDescent="0.25">
      <c r="A5" t="s">
        <v>788</v>
      </c>
    </row>
    <row r="8" spans="1:2" x14ac:dyDescent="0.25">
      <c r="A8" t="s">
        <v>789</v>
      </c>
      <c r="B8" t="s">
        <v>791</v>
      </c>
    </row>
    <row r="9" spans="1:2" x14ac:dyDescent="0.25">
      <c r="A9" t="s">
        <v>4</v>
      </c>
      <c r="B9" t="s">
        <v>790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C106F81-FAEF-4A21-B7A4-F2A8622F7182}">
          <x14:formula1>
            <xm:f>Summary!$B$3:$B$34</xm:f>
          </x14:formula1>
          <xm:sqref>B2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EEB8A0-342A-40C0-BD7B-7428F21BA0EF}">
  <dimension ref="A2:G34"/>
  <sheetViews>
    <sheetView zoomScale="145" zoomScaleNormal="145" workbookViewId="0">
      <selection activeCell="A4" sqref="A4:D6"/>
    </sheetView>
  </sheetViews>
  <sheetFormatPr defaultRowHeight="15" x14ac:dyDescent="0.25"/>
  <cols>
    <col min="1" max="1" width="7.28515625" style="7" customWidth="1"/>
    <col min="2" max="2" width="28" style="7" bestFit="1" customWidth="1"/>
    <col min="3" max="3" width="29.85546875" style="7" bestFit="1" customWidth="1"/>
    <col min="4" max="4" width="30.28515625" style="7" bestFit="1" customWidth="1"/>
    <col min="5" max="5" width="31.42578125" style="7" bestFit="1" customWidth="1"/>
    <col min="6" max="6" width="32.5703125" style="7" bestFit="1" customWidth="1"/>
    <col min="7" max="16384" width="9.140625" style="7"/>
  </cols>
  <sheetData>
    <row r="2" spans="1:7" ht="27" customHeight="1" x14ac:dyDescent="0.25">
      <c r="A2" s="43" t="s">
        <v>433</v>
      </c>
      <c r="B2" s="43" t="s">
        <v>434</v>
      </c>
      <c r="C2" s="75" t="s">
        <v>436</v>
      </c>
      <c r="D2" s="76"/>
      <c r="E2" s="76"/>
      <c r="F2" s="77"/>
    </row>
    <row r="3" spans="1:7" x14ac:dyDescent="0.25">
      <c r="A3" s="8"/>
      <c r="B3" s="8" t="s">
        <v>786</v>
      </c>
      <c r="C3" s="8" t="s">
        <v>786</v>
      </c>
      <c r="D3" s="8" t="s">
        <v>786</v>
      </c>
      <c r="E3" s="8" t="s">
        <v>786</v>
      </c>
      <c r="F3" s="8" t="s">
        <v>786</v>
      </c>
    </row>
    <row r="4" spans="1:7" x14ac:dyDescent="0.25">
      <c r="A4" s="8">
        <v>1</v>
      </c>
      <c r="B4" s="8" t="s">
        <v>435</v>
      </c>
      <c r="C4" s="8" t="s">
        <v>9</v>
      </c>
      <c r="D4" s="8" t="s">
        <v>8</v>
      </c>
      <c r="E4" s="8" t="s">
        <v>629</v>
      </c>
      <c r="F4" s="8" t="s">
        <v>629</v>
      </c>
    </row>
    <row r="5" spans="1:7" x14ac:dyDescent="0.25">
      <c r="A5" s="8">
        <v>2</v>
      </c>
      <c r="B5" s="8" t="s">
        <v>440</v>
      </c>
      <c r="C5" s="8" t="s">
        <v>9</v>
      </c>
      <c r="D5" s="8" t="s">
        <v>8</v>
      </c>
      <c r="E5" s="8" t="s">
        <v>629</v>
      </c>
      <c r="F5" s="8" t="s">
        <v>629</v>
      </c>
    </row>
    <row r="6" spans="1:7" x14ac:dyDescent="0.25">
      <c r="A6" s="8">
        <v>3</v>
      </c>
      <c r="B6" s="8" t="s">
        <v>441</v>
      </c>
      <c r="C6" s="8" t="s">
        <v>9</v>
      </c>
      <c r="D6" s="8" t="s">
        <v>8</v>
      </c>
      <c r="E6" s="8" t="s">
        <v>629</v>
      </c>
      <c r="F6" s="8" t="s">
        <v>629</v>
      </c>
    </row>
    <row r="7" spans="1:7" x14ac:dyDescent="0.25">
      <c r="A7" s="8">
        <v>4</v>
      </c>
      <c r="B7" s="8" t="s">
        <v>442</v>
      </c>
      <c r="C7" s="8" t="s">
        <v>443</v>
      </c>
      <c r="D7" s="8" t="s">
        <v>444</v>
      </c>
      <c r="E7" s="8" t="s">
        <v>629</v>
      </c>
      <c r="F7" s="8" t="s">
        <v>629</v>
      </c>
    </row>
    <row r="8" spans="1:7" x14ac:dyDescent="0.25">
      <c r="A8" s="8">
        <v>5</v>
      </c>
      <c r="B8" s="8" t="s">
        <v>490</v>
      </c>
      <c r="C8" s="8" t="s">
        <v>9</v>
      </c>
      <c r="D8" s="8" t="s">
        <v>8</v>
      </c>
      <c r="E8" s="8" t="s">
        <v>629</v>
      </c>
      <c r="F8" s="8" t="s">
        <v>629</v>
      </c>
    </row>
    <row r="9" spans="1:7" x14ac:dyDescent="0.25">
      <c r="A9" s="8">
        <v>6</v>
      </c>
      <c r="B9" s="94" t="s">
        <v>491</v>
      </c>
      <c r="C9" s="8" t="s">
        <v>9</v>
      </c>
      <c r="D9" s="8" t="s">
        <v>8</v>
      </c>
      <c r="E9" s="8" t="s">
        <v>629</v>
      </c>
      <c r="F9" s="8" t="s">
        <v>629</v>
      </c>
    </row>
    <row r="10" spans="1:7" x14ac:dyDescent="0.25">
      <c r="A10" s="8">
        <v>7</v>
      </c>
      <c r="B10" s="8" t="s">
        <v>541</v>
      </c>
      <c r="C10" s="8" t="s">
        <v>79</v>
      </c>
      <c r="D10" s="7" t="s">
        <v>792</v>
      </c>
      <c r="F10" s="8"/>
    </row>
    <row r="11" spans="1:7" x14ac:dyDescent="0.25">
      <c r="A11" s="8"/>
      <c r="B11" s="8"/>
      <c r="C11" s="8"/>
      <c r="D11" s="7" t="s">
        <v>793</v>
      </c>
      <c r="E11" s="8" t="s">
        <v>530</v>
      </c>
      <c r="F11" s="8" t="s">
        <v>531</v>
      </c>
      <c r="G11" s="7" t="s">
        <v>522</v>
      </c>
    </row>
    <row r="12" spans="1:7" x14ac:dyDescent="0.25">
      <c r="A12" s="8"/>
      <c r="B12" s="8"/>
      <c r="C12" s="8"/>
      <c r="D12" s="7" t="s">
        <v>794</v>
      </c>
      <c r="E12" s="8"/>
      <c r="F12" s="8"/>
    </row>
    <row r="13" spans="1:7" x14ac:dyDescent="0.25">
      <c r="A13" s="8"/>
      <c r="B13" s="8"/>
      <c r="C13" s="8"/>
      <c r="E13" s="8"/>
      <c r="F13" s="8"/>
    </row>
    <row r="14" spans="1:7" x14ac:dyDescent="0.25">
      <c r="A14" s="8">
        <v>8</v>
      </c>
      <c r="B14" s="8" t="s">
        <v>560</v>
      </c>
      <c r="C14" s="8" t="s">
        <v>9</v>
      </c>
      <c r="D14" s="8" t="s">
        <v>8</v>
      </c>
      <c r="E14" s="8" t="s">
        <v>629</v>
      </c>
      <c r="F14" s="8" t="s">
        <v>629</v>
      </c>
    </row>
    <row r="15" spans="1:7" x14ac:dyDescent="0.25">
      <c r="A15" s="8">
        <v>9</v>
      </c>
      <c r="B15" s="8" t="s">
        <v>563</v>
      </c>
      <c r="C15" s="8" t="s">
        <v>9</v>
      </c>
      <c r="D15" s="8" t="s">
        <v>8</v>
      </c>
      <c r="E15" s="8" t="s">
        <v>629</v>
      </c>
      <c r="F15" s="8" t="s">
        <v>629</v>
      </c>
    </row>
    <row r="16" spans="1:7" ht="30" x14ac:dyDescent="0.25">
      <c r="A16" s="8">
        <v>10</v>
      </c>
      <c r="B16" s="8" t="s">
        <v>625</v>
      </c>
      <c r="C16" s="8" t="s">
        <v>222</v>
      </c>
      <c r="D16" s="58" t="s">
        <v>626</v>
      </c>
      <c r="E16" s="58" t="s">
        <v>627</v>
      </c>
      <c r="F16" s="58" t="s">
        <v>628</v>
      </c>
    </row>
    <row r="17" spans="1:6" x14ac:dyDescent="0.25">
      <c r="A17" s="8">
        <v>11</v>
      </c>
      <c r="B17" s="8" t="s">
        <v>634</v>
      </c>
      <c r="C17" s="8" t="s">
        <v>9</v>
      </c>
      <c r="D17" s="8" t="s">
        <v>8</v>
      </c>
      <c r="E17" s="8" t="s">
        <v>629</v>
      </c>
      <c r="F17" s="8" t="s">
        <v>629</v>
      </c>
    </row>
    <row r="18" spans="1:6" x14ac:dyDescent="0.25">
      <c r="A18" s="8">
        <v>12</v>
      </c>
      <c r="B18" s="8" t="s">
        <v>641</v>
      </c>
      <c r="C18" s="8" t="s">
        <v>9</v>
      </c>
      <c r="D18" s="8" t="s">
        <v>629</v>
      </c>
      <c r="E18" s="8" t="s">
        <v>629</v>
      </c>
      <c r="F18" s="8" t="s">
        <v>629</v>
      </c>
    </row>
    <row r="19" spans="1:6" x14ac:dyDescent="0.25">
      <c r="A19" s="8">
        <v>13</v>
      </c>
      <c r="B19" s="8" t="s">
        <v>655</v>
      </c>
      <c r="C19" s="8" t="s">
        <v>9</v>
      </c>
      <c r="D19" s="8" t="s">
        <v>629</v>
      </c>
      <c r="E19" s="8" t="s">
        <v>629</v>
      </c>
      <c r="F19" s="8" t="s">
        <v>629</v>
      </c>
    </row>
    <row r="20" spans="1:6" x14ac:dyDescent="0.25">
      <c r="A20" s="8">
        <v>14</v>
      </c>
      <c r="B20" s="8" t="s">
        <v>673</v>
      </c>
      <c r="C20" s="8" t="s">
        <v>197</v>
      </c>
      <c r="D20" s="8" t="s">
        <v>8</v>
      </c>
      <c r="E20" s="8" t="s">
        <v>629</v>
      </c>
      <c r="F20" s="8" t="s">
        <v>629</v>
      </c>
    </row>
    <row r="21" spans="1:6" x14ac:dyDescent="0.25">
      <c r="A21" s="8">
        <v>15</v>
      </c>
      <c r="B21" s="8" t="s">
        <v>682</v>
      </c>
      <c r="C21" s="8" t="s">
        <v>197</v>
      </c>
      <c r="D21" s="8" t="s">
        <v>80</v>
      </c>
      <c r="E21" s="8" t="s">
        <v>79</v>
      </c>
      <c r="F21" s="8" t="s">
        <v>629</v>
      </c>
    </row>
    <row r="22" spans="1:6" x14ac:dyDescent="0.25">
      <c r="A22" s="8"/>
      <c r="B22" s="8" t="s">
        <v>683</v>
      </c>
      <c r="C22" s="8" t="s">
        <v>629</v>
      </c>
      <c r="D22" s="8" t="s">
        <v>80</v>
      </c>
      <c r="E22" s="8" t="s">
        <v>79</v>
      </c>
      <c r="F22" s="8" t="s">
        <v>629</v>
      </c>
    </row>
    <row r="23" spans="1:6" x14ac:dyDescent="0.25">
      <c r="A23" s="8">
        <v>16</v>
      </c>
      <c r="B23" s="96" t="s">
        <v>687</v>
      </c>
      <c r="C23" s="8" t="s">
        <v>9</v>
      </c>
      <c r="D23" s="8" t="s">
        <v>629</v>
      </c>
      <c r="E23" s="8" t="s">
        <v>629</v>
      </c>
      <c r="F23" s="8" t="s">
        <v>629</v>
      </c>
    </row>
    <row r="24" spans="1:6" x14ac:dyDescent="0.25">
      <c r="A24" s="8">
        <v>17</v>
      </c>
      <c r="B24" s="8" t="s">
        <v>694</v>
      </c>
      <c r="C24" s="8" t="s">
        <v>222</v>
      </c>
      <c r="D24" s="8" t="s">
        <v>383</v>
      </c>
      <c r="E24" s="8" t="s">
        <v>384</v>
      </c>
      <c r="F24" s="8" t="s">
        <v>385</v>
      </c>
    </row>
    <row r="25" spans="1:6" x14ac:dyDescent="0.25">
      <c r="A25" s="8">
        <v>18</v>
      </c>
      <c r="B25" s="95" t="s">
        <v>701</v>
      </c>
      <c r="C25" s="8" t="s">
        <v>222</v>
      </c>
      <c r="D25" s="8" t="s">
        <v>383</v>
      </c>
      <c r="E25" s="8" t="s">
        <v>384</v>
      </c>
      <c r="F25" s="8" t="s">
        <v>385</v>
      </c>
    </row>
    <row r="26" spans="1:6" x14ac:dyDescent="0.25">
      <c r="A26" s="8">
        <v>19</v>
      </c>
      <c r="B26" s="8" t="s">
        <v>709</v>
      </c>
      <c r="C26" s="8" t="s">
        <v>222</v>
      </c>
      <c r="D26" s="8" t="s">
        <v>383</v>
      </c>
      <c r="E26" s="8" t="s">
        <v>384</v>
      </c>
      <c r="F26" s="8" t="s">
        <v>385</v>
      </c>
    </row>
    <row r="27" spans="1:6" x14ac:dyDescent="0.25">
      <c r="A27" s="8">
        <v>20</v>
      </c>
      <c r="B27" s="8" t="s">
        <v>705</v>
      </c>
      <c r="C27" s="8" t="s">
        <v>9</v>
      </c>
      <c r="D27" s="8" t="s">
        <v>629</v>
      </c>
      <c r="E27" s="8" t="s">
        <v>629</v>
      </c>
      <c r="F27" s="8" t="s">
        <v>629</v>
      </c>
    </row>
    <row r="28" spans="1:6" x14ac:dyDescent="0.25">
      <c r="A28" s="8">
        <v>21</v>
      </c>
      <c r="B28" s="8" t="s">
        <v>715</v>
      </c>
      <c r="C28" s="8" t="s">
        <v>9</v>
      </c>
      <c r="D28" s="8" t="s">
        <v>629</v>
      </c>
      <c r="E28" s="8" t="s">
        <v>629</v>
      </c>
      <c r="F28" s="8" t="s">
        <v>629</v>
      </c>
    </row>
    <row r="29" spans="1:6" x14ac:dyDescent="0.25">
      <c r="A29" s="8">
        <v>22</v>
      </c>
      <c r="B29" s="8" t="s">
        <v>727</v>
      </c>
      <c r="C29" s="8" t="s">
        <v>197</v>
      </c>
      <c r="D29" s="8" t="s">
        <v>8</v>
      </c>
      <c r="E29" s="8" t="s">
        <v>629</v>
      </c>
      <c r="F29" s="8" t="s">
        <v>629</v>
      </c>
    </row>
    <row r="30" spans="1:6" x14ac:dyDescent="0.25">
      <c r="A30" s="8">
        <v>23</v>
      </c>
      <c r="B30" s="8" t="s">
        <v>733</v>
      </c>
      <c r="C30" s="8" t="s">
        <v>197</v>
      </c>
      <c r="D30" s="8" t="s">
        <v>8</v>
      </c>
      <c r="E30" s="8" t="s">
        <v>629</v>
      </c>
      <c r="F30" s="8" t="s">
        <v>629</v>
      </c>
    </row>
    <row r="31" spans="1:6" x14ac:dyDescent="0.25">
      <c r="A31" s="8">
        <v>24</v>
      </c>
      <c r="B31" s="8" t="s">
        <v>734</v>
      </c>
      <c r="C31" s="8" t="s">
        <v>9</v>
      </c>
      <c r="D31" s="8" t="s">
        <v>629</v>
      </c>
      <c r="E31" s="8" t="s">
        <v>629</v>
      </c>
      <c r="F31" s="8" t="s">
        <v>629</v>
      </c>
    </row>
    <row r="32" spans="1:6" x14ac:dyDescent="0.25">
      <c r="A32" s="8">
        <v>25</v>
      </c>
      <c r="B32" s="8" t="s">
        <v>750</v>
      </c>
      <c r="C32" s="8" t="s">
        <v>753</v>
      </c>
      <c r="D32" s="8" t="s">
        <v>754</v>
      </c>
      <c r="E32" s="8" t="s">
        <v>751</v>
      </c>
      <c r="F32" s="8" t="s">
        <v>752</v>
      </c>
    </row>
    <row r="33" spans="1:6" x14ac:dyDescent="0.25">
      <c r="A33" s="8">
        <v>26</v>
      </c>
      <c r="B33" s="8" t="s">
        <v>755</v>
      </c>
      <c r="C33" s="8" t="s">
        <v>9</v>
      </c>
      <c r="D33" s="8" t="s">
        <v>8</v>
      </c>
      <c r="E33" s="8" t="s">
        <v>629</v>
      </c>
      <c r="F33" s="8" t="s">
        <v>629</v>
      </c>
    </row>
    <row r="34" spans="1:6" x14ac:dyDescent="0.25">
      <c r="A34" s="8">
        <v>27</v>
      </c>
      <c r="B34" s="8" t="s">
        <v>756</v>
      </c>
      <c r="C34" s="8" t="s">
        <v>9</v>
      </c>
      <c r="D34" s="8" t="s">
        <v>8</v>
      </c>
      <c r="E34" s="8" t="s">
        <v>629</v>
      </c>
      <c r="F34" s="8" t="s">
        <v>629</v>
      </c>
    </row>
  </sheetData>
  <mergeCells count="1">
    <mergeCell ref="C2:F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60DD00-F008-492F-9CF5-FB7195A15EED}">
  <sheetPr>
    <tabColor rgb="FF92D050"/>
  </sheetPr>
  <dimension ref="A1:T28"/>
  <sheetViews>
    <sheetView workbookViewId="0">
      <selection activeCell="E15" sqref="E15"/>
    </sheetView>
  </sheetViews>
  <sheetFormatPr defaultRowHeight="15" x14ac:dyDescent="0.25"/>
  <cols>
    <col min="1" max="2" width="40.7109375" customWidth="1"/>
    <col min="4" max="10" width="9.140625" customWidth="1"/>
    <col min="11" max="11" width="99" bestFit="1" customWidth="1"/>
    <col min="12" max="12" width="48.140625" customWidth="1"/>
    <col min="13" max="13" width="19.7109375" customWidth="1"/>
    <col min="14" max="14" width="21" customWidth="1"/>
    <col min="15" max="15" width="10" customWidth="1"/>
    <col min="16" max="16" width="10.28515625" customWidth="1"/>
  </cols>
  <sheetData>
    <row r="1" spans="1:20" ht="24" x14ac:dyDescent="0.4">
      <c r="A1" s="78" t="s">
        <v>469</v>
      </c>
      <c r="B1" s="78"/>
      <c r="K1" s="16" t="s">
        <v>9</v>
      </c>
      <c r="L1" s="16" t="s">
        <v>8</v>
      </c>
      <c r="M1" s="16" t="s">
        <v>445</v>
      </c>
      <c r="N1" s="16" t="s">
        <v>446</v>
      </c>
      <c r="O1" s="16" t="s">
        <v>5</v>
      </c>
      <c r="P1" s="16" t="s">
        <v>4</v>
      </c>
    </row>
    <row r="2" spans="1:20" x14ac:dyDescent="0.25">
      <c r="K2" s="16"/>
      <c r="L2" s="16"/>
      <c r="M2" s="16"/>
      <c r="N2" s="16"/>
      <c r="O2" s="16"/>
      <c r="P2" s="16"/>
    </row>
    <row r="3" spans="1:20" ht="60" x14ac:dyDescent="0.25">
      <c r="A3" s="16" t="s">
        <v>438</v>
      </c>
      <c r="B3" s="16" t="s">
        <v>437</v>
      </c>
      <c r="D3" s="39" t="s">
        <v>428</v>
      </c>
      <c r="E3" s="39" t="s">
        <v>429</v>
      </c>
      <c r="K3" s="40" t="s">
        <v>430</v>
      </c>
      <c r="L3" s="40" t="s">
        <v>431</v>
      </c>
      <c r="M3" s="41" t="s">
        <v>432</v>
      </c>
      <c r="N3" s="41" t="s">
        <v>432</v>
      </c>
      <c r="O3" s="35"/>
      <c r="P3" s="35"/>
    </row>
    <row r="4" spans="1:20" ht="30" x14ac:dyDescent="0.25">
      <c r="A4" s="42" t="s">
        <v>419</v>
      </c>
      <c r="B4" s="42" t="s">
        <v>0</v>
      </c>
      <c r="D4" s="1">
        <f>VLOOKUP(A4, K1:M12, 3,FALSE)</f>
        <v>0</v>
      </c>
      <c r="E4" s="1">
        <f>VLOOKUP(B4, L1:N12, 3, FALSE)</f>
        <v>20</v>
      </c>
      <c r="K4" s="19" t="s">
        <v>0</v>
      </c>
      <c r="L4" s="4" t="s">
        <v>0</v>
      </c>
      <c r="M4" s="3">
        <v>80</v>
      </c>
      <c r="N4" s="3">
        <v>20</v>
      </c>
      <c r="O4" s="3">
        <f>M4+N4</f>
        <v>100</v>
      </c>
      <c r="P4" s="3" t="str">
        <f>IF(AND(O4&gt;=80, O4&lt;=100), "GOOD", IF(AND(O4&gt;40, O4&lt;80), "FAIR", "POOR"))</f>
        <v>GOOD</v>
      </c>
    </row>
    <row r="5" spans="1:20" ht="21" x14ac:dyDescent="0.55000000000000004">
      <c r="K5" s="9" t="s">
        <v>492</v>
      </c>
      <c r="L5" s="2" t="s">
        <v>420</v>
      </c>
      <c r="M5" s="3">
        <v>70</v>
      </c>
      <c r="N5" s="3">
        <f>N4-2</f>
        <v>18</v>
      </c>
      <c r="O5" s="3">
        <f t="shared" ref="O5:O12" si="0">M5+N5</f>
        <v>88</v>
      </c>
      <c r="P5" s="3" t="str">
        <f t="shared" ref="P5:P12" si="1">IF(AND(O5&gt;=80, O5&lt;=100), "GOOD", IF(AND(O5&gt;40, O5&lt;80), "FAIR", "POOR"))</f>
        <v>GOOD</v>
      </c>
    </row>
    <row r="6" spans="1:20" ht="21" x14ac:dyDescent="0.55000000000000004">
      <c r="K6" s="9" t="s">
        <v>493</v>
      </c>
      <c r="L6" s="2" t="s">
        <v>421</v>
      </c>
      <c r="M6" s="3">
        <v>60</v>
      </c>
      <c r="N6" s="3">
        <f t="shared" ref="N6:N11" si="2">N5-2</f>
        <v>16</v>
      </c>
      <c r="O6" s="3">
        <f t="shared" si="0"/>
        <v>76</v>
      </c>
      <c r="P6" s="3" t="str">
        <f t="shared" si="1"/>
        <v>FAIR</v>
      </c>
    </row>
    <row r="7" spans="1:20" ht="21" x14ac:dyDescent="0.55000000000000004">
      <c r="A7" s="36" t="s">
        <v>467</v>
      </c>
      <c r="B7" s="37">
        <f>IF(D4=0, 0, D4+E4)</f>
        <v>0</v>
      </c>
      <c r="K7" s="9" t="s">
        <v>494</v>
      </c>
      <c r="L7" s="2" t="s">
        <v>422</v>
      </c>
      <c r="M7" s="3">
        <v>50</v>
      </c>
      <c r="N7" s="3">
        <f t="shared" si="2"/>
        <v>14</v>
      </c>
      <c r="O7" s="3">
        <f t="shared" si="0"/>
        <v>64</v>
      </c>
      <c r="P7" s="3" t="str">
        <f t="shared" si="1"/>
        <v>FAIR</v>
      </c>
    </row>
    <row r="8" spans="1:20" ht="21" x14ac:dyDescent="0.55000000000000004">
      <c r="A8" s="36" t="s">
        <v>468</v>
      </c>
      <c r="B8" s="37" t="str">
        <f>IF(AND(B7&gt;=80, B7&lt;=100), "GOOD", IF(AND(B7&gt;40, B7&lt;80), "FAIR", "POOR"))</f>
        <v>POOR</v>
      </c>
      <c r="K8" s="9" t="s">
        <v>495</v>
      </c>
      <c r="L8" s="2" t="s">
        <v>423</v>
      </c>
      <c r="M8" s="3">
        <v>40</v>
      </c>
      <c r="N8" s="3">
        <f t="shared" si="2"/>
        <v>12</v>
      </c>
      <c r="O8" s="3">
        <f t="shared" si="0"/>
        <v>52</v>
      </c>
      <c r="P8" s="3" t="str">
        <f t="shared" si="1"/>
        <v>FAIR</v>
      </c>
    </row>
    <row r="9" spans="1:20" ht="21" x14ac:dyDescent="0.55000000000000004">
      <c r="K9" s="9" t="s">
        <v>496</v>
      </c>
      <c r="L9" s="2" t="s">
        <v>424</v>
      </c>
      <c r="M9" s="3">
        <v>30</v>
      </c>
      <c r="N9" s="3">
        <f t="shared" si="2"/>
        <v>10</v>
      </c>
      <c r="O9" s="3">
        <f t="shared" si="0"/>
        <v>40</v>
      </c>
      <c r="P9" s="3" t="str">
        <f t="shared" si="1"/>
        <v>POOR</v>
      </c>
    </row>
    <row r="10" spans="1:20" ht="21" x14ac:dyDescent="0.25">
      <c r="K10" s="38" t="s">
        <v>417</v>
      </c>
      <c r="L10" s="2" t="s">
        <v>425</v>
      </c>
      <c r="M10" s="3">
        <v>20</v>
      </c>
      <c r="N10" s="3">
        <f t="shared" si="2"/>
        <v>8</v>
      </c>
      <c r="O10" s="3">
        <f t="shared" si="0"/>
        <v>28</v>
      </c>
      <c r="P10" s="3" t="str">
        <f t="shared" si="1"/>
        <v>POOR</v>
      </c>
    </row>
    <row r="11" spans="1:20" ht="21" x14ac:dyDescent="0.25">
      <c r="K11" s="38" t="s">
        <v>418</v>
      </c>
      <c r="L11" s="2" t="s">
        <v>426</v>
      </c>
      <c r="M11" s="3">
        <v>10</v>
      </c>
      <c r="N11" s="3">
        <f t="shared" si="2"/>
        <v>6</v>
      </c>
      <c r="O11" s="3">
        <f t="shared" si="0"/>
        <v>16</v>
      </c>
      <c r="P11" s="3" t="str">
        <f t="shared" si="1"/>
        <v>POOR</v>
      </c>
    </row>
    <row r="12" spans="1:20" ht="21" x14ac:dyDescent="0.25">
      <c r="K12" s="38" t="s">
        <v>419</v>
      </c>
      <c r="L12" s="2" t="s">
        <v>427</v>
      </c>
      <c r="M12" s="3">
        <v>0</v>
      </c>
      <c r="N12" s="3">
        <v>0</v>
      </c>
      <c r="O12" s="3">
        <f t="shared" si="0"/>
        <v>0</v>
      </c>
      <c r="P12" s="3" t="str">
        <f t="shared" si="1"/>
        <v>POOR</v>
      </c>
    </row>
    <row r="13" spans="1:20" x14ac:dyDescent="0.25">
      <c r="M13" s="1"/>
      <c r="N13" s="1"/>
      <c r="O13" s="1"/>
      <c r="T13" t="s">
        <v>439</v>
      </c>
    </row>
    <row r="14" spans="1:20" x14ac:dyDescent="0.25">
      <c r="N14" s="1"/>
      <c r="O14" s="1"/>
    </row>
    <row r="15" spans="1:20" x14ac:dyDescent="0.25">
      <c r="M15" s="1"/>
      <c r="N15" s="1"/>
      <c r="O15" s="1"/>
      <c r="P15" s="1"/>
    </row>
    <row r="16" spans="1:20" x14ac:dyDescent="0.25">
      <c r="M16" s="1"/>
      <c r="N16" s="1"/>
      <c r="O16" s="1"/>
      <c r="P16" s="1"/>
    </row>
    <row r="17" spans="13:16" x14ac:dyDescent="0.25">
      <c r="M17" s="1"/>
      <c r="N17" s="1"/>
      <c r="O17" s="1"/>
      <c r="P17" s="1"/>
    </row>
    <row r="18" spans="13:16" x14ac:dyDescent="0.25">
      <c r="M18" s="1"/>
      <c r="N18" s="1"/>
      <c r="O18" s="1"/>
      <c r="P18" s="1"/>
    </row>
    <row r="19" spans="13:16" x14ac:dyDescent="0.25">
      <c r="M19" s="1"/>
      <c r="N19" s="1"/>
      <c r="O19" s="1"/>
    </row>
    <row r="20" spans="13:16" x14ac:dyDescent="0.25">
      <c r="M20" s="1"/>
      <c r="N20" s="1"/>
      <c r="O20" s="1"/>
    </row>
    <row r="21" spans="13:16" x14ac:dyDescent="0.25">
      <c r="M21" s="1"/>
      <c r="N21" s="1"/>
      <c r="O21" s="1"/>
    </row>
    <row r="22" spans="13:16" x14ac:dyDescent="0.25">
      <c r="M22" s="1"/>
      <c r="N22" s="1"/>
      <c r="O22" s="1"/>
    </row>
    <row r="23" spans="13:16" x14ac:dyDescent="0.25">
      <c r="M23" s="1"/>
      <c r="N23" s="1"/>
      <c r="O23" s="1"/>
    </row>
    <row r="24" spans="13:16" x14ac:dyDescent="0.25">
      <c r="M24" s="1"/>
      <c r="N24" s="1"/>
      <c r="O24" s="1"/>
    </row>
    <row r="25" spans="13:16" x14ac:dyDescent="0.25">
      <c r="M25" s="1"/>
      <c r="N25" s="1"/>
      <c r="O25" s="1"/>
    </row>
    <row r="26" spans="13:16" x14ac:dyDescent="0.25">
      <c r="M26" s="1"/>
      <c r="N26" s="1"/>
      <c r="O26" s="1"/>
    </row>
    <row r="27" spans="13:16" x14ac:dyDescent="0.25">
      <c r="M27" s="1"/>
      <c r="N27" s="1"/>
      <c r="O27" s="1"/>
    </row>
    <row r="28" spans="13:16" x14ac:dyDescent="0.25">
      <c r="M28" s="1"/>
      <c r="N28" s="1"/>
      <c r="O28" s="1"/>
    </row>
  </sheetData>
  <mergeCells count="1">
    <mergeCell ref="A1:B1"/>
  </mergeCells>
  <dataValidations count="3">
    <dataValidation type="list" allowBlank="1" showInputMessage="1" showErrorMessage="1" sqref="A5" xr:uid="{8D7699DD-AB26-4294-A99B-E7450391C155}">
      <formula1>$K$4:$K$12</formula1>
    </dataValidation>
    <dataValidation type="list" allowBlank="1" showInputMessage="1" showErrorMessage="1" sqref="A4" xr:uid="{C576770F-D97C-451E-BC8F-101FEC7D8B10}">
      <formula1>$K$3:$K$12</formula1>
    </dataValidation>
    <dataValidation type="list" allowBlank="1" showInputMessage="1" showErrorMessage="1" sqref="B4" xr:uid="{4C01DABD-793E-42CC-80A7-4A2ACB4BFDAF}">
      <formula1>$L$3:$L$12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2D3EC7-B9F6-48CF-8852-EF0951B75B30}">
  <sheetPr>
    <tabColor rgb="FF92D050"/>
  </sheetPr>
  <dimension ref="A1:L13"/>
  <sheetViews>
    <sheetView topLeftCell="B1" zoomScaleNormal="100" workbookViewId="0">
      <selection activeCell="E7" sqref="E7"/>
    </sheetView>
  </sheetViews>
  <sheetFormatPr defaultRowHeight="38.25" customHeight="1" x14ac:dyDescent="0.25"/>
  <cols>
    <col min="1" max="1" width="36" bestFit="1" customWidth="1"/>
    <col min="2" max="2" width="37.140625" bestFit="1" customWidth="1"/>
    <col min="4" max="6" width="9.140625" customWidth="1"/>
    <col min="7" max="7" width="96.28515625" style="18" customWidth="1"/>
    <col min="8" max="8" width="58" style="7" customWidth="1"/>
    <col min="9" max="9" width="20.85546875" style="12" customWidth="1"/>
    <col min="10" max="10" width="22.28515625" style="12" customWidth="1"/>
    <col min="11" max="12" width="10.85546875" style="12" customWidth="1"/>
  </cols>
  <sheetData>
    <row r="1" spans="1:12" s="26" customFormat="1" ht="27" customHeight="1" x14ac:dyDescent="0.4">
      <c r="A1" s="78" t="s">
        <v>470</v>
      </c>
      <c r="B1" s="78"/>
      <c r="G1" s="25" t="s">
        <v>9</v>
      </c>
      <c r="H1" s="24" t="s">
        <v>8</v>
      </c>
      <c r="I1" s="16" t="s">
        <v>445</v>
      </c>
      <c r="J1" s="16" t="s">
        <v>446</v>
      </c>
      <c r="K1" s="24" t="s">
        <v>5</v>
      </c>
      <c r="L1" s="24" t="s">
        <v>4</v>
      </c>
    </row>
    <row r="2" spans="1:12" ht="38.25" customHeight="1" x14ac:dyDescent="0.25">
      <c r="G2" s="40" t="s">
        <v>430</v>
      </c>
      <c r="H2" s="40" t="s">
        <v>431</v>
      </c>
      <c r="I2" s="41" t="s">
        <v>432</v>
      </c>
      <c r="J2" s="41" t="s">
        <v>432</v>
      </c>
      <c r="K2" s="35"/>
      <c r="L2" s="35"/>
    </row>
    <row r="3" spans="1:12" ht="38.25" customHeight="1" x14ac:dyDescent="0.25">
      <c r="A3" s="16" t="s">
        <v>438</v>
      </c>
      <c r="B3" s="16" t="s">
        <v>437</v>
      </c>
      <c r="D3" s="39" t="s">
        <v>428</v>
      </c>
      <c r="E3" s="39" t="s">
        <v>429</v>
      </c>
      <c r="G3" s="17" t="s">
        <v>0</v>
      </c>
      <c r="H3" s="19" t="s">
        <v>0</v>
      </c>
      <c r="I3" s="8">
        <v>80</v>
      </c>
      <c r="J3" s="8">
        <v>20</v>
      </c>
      <c r="K3" s="8">
        <f t="shared" ref="K3:K13" si="0">I3+J3</f>
        <v>100</v>
      </c>
      <c r="L3" s="8" t="str">
        <f>IF(AND(K3&gt;=80, K3&lt;=100), "GOOD", IF(AND(K3&gt;40, K3&lt;80), "FAIR", "POOR"))</f>
        <v>GOOD</v>
      </c>
    </row>
    <row r="4" spans="1:12" ht="114" customHeight="1" x14ac:dyDescent="0.25">
      <c r="A4" s="45" t="s">
        <v>59</v>
      </c>
      <c r="B4" s="42" t="s">
        <v>52</v>
      </c>
      <c r="D4" s="7">
        <f>VLOOKUP(A4, G1:I13, 3, FALSE)</f>
        <v>0</v>
      </c>
      <c r="E4" s="7">
        <f>VLOOKUP(B4, H1:J13, 3, FALSE)</f>
        <v>6</v>
      </c>
      <c r="G4" s="17" t="s">
        <v>41</v>
      </c>
      <c r="H4" s="19" t="s">
        <v>40</v>
      </c>
      <c r="I4" s="8">
        <v>72</v>
      </c>
      <c r="J4" s="8">
        <v>18</v>
      </c>
      <c r="K4" s="8">
        <f t="shared" si="0"/>
        <v>90</v>
      </c>
      <c r="L4" s="8" t="str">
        <f t="shared" ref="L4:L13" si="1">IF(AND(K4&gt;=80, K4&lt;=100), "GOOD", IF(AND(K4&gt;40, K4&lt;80), "FAIR", "POOR"))</f>
        <v>GOOD</v>
      </c>
    </row>
    <row r="5" spans="1:12" ht="38.25" customHeight="1" x14ac:dyDescent="0.25">
      <c r="G5" s="17" t="s">
        <v>43</v>
      </c>
      <c r="H5" s="19" t="s">
        <v>42</v>
      </c>
      <c r="I5" s="8">
        <v>64</v>
      </c>
      <c r="J5" s="8">
        <v>16</v>
      </c>
      <c r="K5" s="8">
        <f t="shared" si="0"/>
        <v>80</v>
      </c>
      <c r="L5" s="8" t="str">
        <f t="shared" si="1"/>
        <v>GOOD</v>
      </c>
    </row>
    <row r="6" spans="1:12" ht="38.25" customHeight="1" x14ac:dyDescent="0.25">
      <c r="G6" s="17" t="s">
        <v>45</v>
      </c>
      <c r="H6" s="19" t="s">
        <v>44</v>
      </c>
      <c r="I6" s="8">
        <v>56</v>
      </c>
      <c r="J6" s="8">
        <v>14</v>
      </c>
      <c r="K6" s="8">
        <f t="shared" si="0"/>
        <v>70</v>
      </c>
      <c r="L6" s="8" t="str">
        <f t="shared" si="1"/>
        <v>FAIR</v>
      </c>
    </row>
    <row r="7" spans="1:12" ht="38.25" customHeight="1" x14ac:dyDescent="0.25">
      <c r="A7" s="44" t="s">
        <v>471</v>
      </c>
      <c r="B7" s="44">
        <f>IF(D4=0, 0, D4+E4)</f>
        <v>0</v>
      </c>
      <c r="G7" s="17" t="s">
        <v>47</v>
      </c>
      <c r="H7" s="19" t="s">
        <v>46</v>
      </c>
      <c r="I7" s="8">
        <v>48</v>
      </c>
      <c r="J7" s="8">
        <v>12</v>
      </c>
      <c r="K7" s="8">
        <f t="shared" si="0"/>
        <v>60</v>
      </c>
      <c r="L7" s="8" t="str">
        <f t="shared" si="1"/>
        <v>FAIR</v>
      </c>
    </row>
    <row r="8" spans="1:12" ht="38.25" customHeight="1" x14ac:dyDescent="0.25">
      <c r="A8" s="44" t="s">
        <v>472</v>
      </c>
      <c r="B8" s="44" t="str">
        <f>IF(AND(B7&gt;=80, B7&lt;=100), "GOOD", IF(AND(B7&gt;40, B7&lt;80), "FAIR", "POOR"))</f>
        <v>POOR</v>
      </c>
      <c r="G8" s="17" t="s">
        <v>49</v>
      </c>
      <c r="H8" s="19" t="s">
        <v>48</v>
      </c>
      <c r="I8" s="8">
        <v>40</v>
      </c>
      <c r="J8" s="8">
        <v>10</v>
      </c>
      <c r="K8" s="8">
        <f t="shared" si="0"/>
        <v>50</v>
      </c>
      <c r="L8" s="8" t="str">
        <f t="shared" si="1"/>
        <v>FAIR</v>
      </c>
    </row>
    <row r="9" spans="1:12" ht="38.25" customHeight="1" x14ac:dyDescent="0.25">
      <c r="G9" s="17" t="s">
        <v>51</v>
      </c>
      <c r="H9" s="19" t="s">
        <v>50</v>
      </c>
      <c r="I9" s="8">
        <v>32</v>
      </c>
      <c r="J9" s="8">
        <v>8</v>
      </c>
      <c r="K9" s="8">
        <f t="shared" si="0"/>
        <v>40</v>
      </c>
      <c r="L9" s="8" t="str">
        <f t="shared" si="1"/>
        <v>POOR</v>
      </c>
    </row>
    <row r="10" spans="1:12" ht="38.25" customHeight="1" x14ac:dyDescent="0.25">
      <c r="G10" s="17" t="s">
        <v>53</v>
      </c>
      <c r="H10" s="19" t="s">
        <v>52</v>
      </c>
      <c r="I10" s="8">
        <v>24</v>
      </c>
      <c r="J10" s="8">
        <v>6</v>
      </c>
      <c r="K10" s="8">
        <f t="shared" si="0"/>
        <v>30</v>
      </c>
      <c r="L10" s="8" t="str">
        <f t="shared" si="1"/>
        <v>POOR</v>
      </c>
    </row>
    <row r="11" spans="1:12" ht="38.25" customHeight="1" x14ac:dyDescent="0.25">
      <c r="G11" s="17" t="s">
        <v>55</v>
      </c>
      <c r="H11" s="19" t="s">
        <v>54</v>
      </c>
      <c r="I11" s="8">
        <v>16</v>
      </c>
      <c r="J11" s="8">
        <v>4</v>
      </c>
      <c r="K11" s="8">
        <f t="shared" si="0"/>
        <v>20</v>
      </c>
      <c r="L11" s="8" t="str">
        <f t="shared" si="1"/>
        <v>POOR</v>
      </c>
    </row>
    <row r="12" spans="1:12" ht="38.25" customHeight="1" x14ac:dyDescent="0.25">
      <c r="G12" s="17" t="s">
        <v>57</v>
      </c>
      <c r="H12" s="19" t="s">
        <v>56</v>
      </c>
      <c r="I12" s="8">
        <v>8</v>
      </c>
      <c r="J12" s="8">
        <v>2</v>
      </c>
      <c r="K12" s="8">
        <f t="shared" si="0"/>
        <v>10</v>
      </c>
      <c r="L12" s="8" t="str">
        <f t="shared" si="1"/>
        <v>POOR</v>
      </c>
    </row>
    <row r="13" spans="1:12" ht="38.25" customHeight="1" x14ac:dyDescent="0.25">
      <c r="G13" s="17" t="s">
        <v>59</v>
      </c>
      <c r="H13" s="19" t="s">
        <v>58</v>
      </c>
      <c r="I13" s="8">
        <v>0</v>
      </c>
      <c r="J13" s="8">
        <v>0</v>
      </c>
      <c r="K13" s="8">
        <f t="shared" si="0"/>
        <v>0</v>
      </c>
      <c r="L13" s="8" t="str">
        <f t="shared" si="1"/>
        <v>POOR</v>
      </c>
    </row>
  </sheetData>
  <autoFilter ref="G1:L13" xr:uid="{E32D3EC7-B9F6-48CF-8852-EF0951B75B30}">
    <sortState xmlns:xlrd2="http://schemas.microsoft.com/office/spreadsheetml/2017/richdata2" ref="G2:L13">
      <sortCondition descending="1" ref="K1:K13"/>
    </sortState>
  </autoFilter>
  <mergeCells count="1">
    <mergeCell ref="A1:B1"/>
  </mergeCells>
  <dataValidations count="3">
    <dataValidation type="list" allowBlank="1" showInputMessage="1" showErrorMessage="1" sqref="B4" xr:uid="{DFD66AFA-BF83-4992-B44F-20DA2B31C8BC}">
      <formula1>$H$2:$H$13</formula1>
    </dataValidation>
    <dataValidation type="list" allowBlank="1" showInputMessage="1" showErrorMessage="1" sqref="A4" xr:uid="{D4D518FC-5E35-4E10-B587-2642017FD454}">
      <formula1>$G$2:$G$13</formula1>
    </dataValidation>
    <dataValidation type="list" allowBlank="1" showInputMessage="1" showErrorMessage="1" sqref="A5" xr:uid="{3CA7BFD3-E06B-4CF8-9624-6DB8A960B450}">
      <formula1>$K$6:$K$14</formula1>
    </dataValidation>
  </dataValidation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D44B00-3E8B-4E78-9DB2-9750B65F263F}">
  <sheetPr>
    <tabColor rgb="FF92D050"/>
  </sheetPr>
  <dimension ref="A1:L13"/>
  <sheetViews>
    <sheetView topLeftCell="H1" workbookViewId="0">
      <selection activeCell="G2" sqref="G2:J2"/>
    </sheetView>
  </sheetViews>
  <sheetFormatPr defaultRowHeight="15" x14ac:dyDescent="0.25"/>
  <cols>
    <col min="1" max="1" width="36" bestFit="1" customWidth="1"/>
    <col min="2" max="2" width="37.140625" bestFit="1" customWidth="1"/>
    <col min="4" max="5" width="5.28515625" bestFit="1" customWidth="1"/>
    <col min="7" max="7" width="56.7109375" style="18" bestFit="1" customWidth="1"/>
    <col min="8" max="8" width="63.28515625" bestFit="1" customWidth="1"/>
    <col min="9" max="9" width="47.140625" customWidth="1"/>
    <col min="10" max="10" width="48" customWidth="1"/>
    <col min="11" max="11" width="10" bestFit="1" customWidth="1"/>
    <col min="12" max="12" width="10.28515625" bestFit="1" customWidth="1"/>
  </cols>
  <sheetData>
    <row r="1" spans="1:12" s="1" customFormat="1" ht="24" x14ac:dyDescent="0.4">
      <c r="A1" s="78" t="s">
        <v>473</v>
      </c>
      <c r="B1" s="78"/>
      <c r="C1" s="26"/>
      <c r="D1" s="26"/>
      <c r="E1" s="26"/>
      <c r="F1" s="26"/>
      <c r="G1" s="16" t="s">
        <v>445</v>
      </c>
      <c r="H1" s="16" t="s">
        <v>446</v>
      </c>
      <c r="I1" s="6" t="s">
        <v>7</v>
      </c>
      <c r="J1" s="6" t="s">
        <v>6</v>
      </c>
      <c r="K1" s="6" t="s">
        <v>5</v>
      </c>
      <c r="L1" s="6" t="s">
        <v>4</v>
      </c>
    </row>
    <row r="2" spans="1:12" ht="30" x14ac:dyDescent="0.25">
      <c r="G2" s="40" t="s">
        <v>430</v>
      </c>
      <c r="H2" s="40" t="s">
        <v>431</v>
      </c>
      <c r="I2" s="41" t="s">
        <v>432</v>
      </c>
      <c r="J2" s="41" t="s">
        <v>432</v>
      </c>
      <c r="K2" s="35"/>
      <c r="L2" s="35"/>
    </row>
    <row r="3" spans="1:12" x14ac:dyDescent="0.25">
      <c r="A3" s="16" t="s">
        <v>438</v>
      </c>
      <c r="B3" s="16" t="s">
        <v>437</v>
      </c>
      <c r="D3" s="39" t="s">
        <v>428</v>
      </c>
      <c r="E3" s="39" t="s">
        <v>429</v>
      </c>
      <c r="G3" s="28" t="s">
        <v>0</v>
      </c>
      <c r="H3" s="10" t="s">
        <v>0</v>
      </c>
      <c r="I3" s="3">
        <f>K3*0.7</f>
        <v>70</v>
      </c>
      <c r="J3" s="3">
        <f t="shared" ref="J3:J13" si="0">K3*0.3</f>
        <v>30</v>
      </c>
      <c r="K3" s="3">
        <v>100</v>
      </c>
      <c r="L3" s="8" t="str">
        <f>IF(AND(K3&gt;=80, K3&lt;=100), "GOOD", IF(AND(K3&gt;40, K3&lt;80), "FAIR", "POOR"))</f>
        <v>GOOD</v>
      </c>
    </row>
    <row r="4" spans="1:12" x14ac:dyDescent="0.25">
      <c r="A4" s="45" t="s">
        <v>0</v>
      </c>
      <c r="B4" s="42" t="s">
        <v>0</v>
      </c>
      <c r="D4" s="7">
        <f>VLOOKUP(A4, G1:I13, 3, FALSE)</f>
        <v>70</v>
      </c>
      <c r="E4" s="7">
        <f>VLOOKUP(B4, H1:J13, 3, FALSE)</f>
        <v>30</v>
      </c>
      <c r="G4" s="28" t="s">
        <v>21</v>
      </c>
      <c r="H4" s="2" t="s">
        <v>20</v>
      </c>
      <c r="I4" s="3">
        <v>63</v>
      </c>
      <c r="J4" s="3">
        <f t="shared" si="0"/>
        <v>27</v>
      </c>
      <c r="K4" s="3">
        <v>90</v>
      </c>
      <c r="L4" s="8" t="str">
        <f t="shared" ref="L4:L13" si="1">IF(AND(K4&gt;=80, K4&lt;=100), "GOOD", IF(AND(K4&gt;40, K4&lt;80), "FAIR", "POOR"))</f>
        <v>GOOD</v>
      </c>
    </row>
    <row r="5" spans="1:12" x14ac:dyDescent="0.25">
      <c r="G5" s="28" t="s">
        <v>23</v>
      </c>
      <c r="H5" s="10" t="s">
        <v>22</v>
      </c>
      <c r="I5" s="3">
        <f t="shared" ref="I5:I13" si="2">K5*0.7</f>
        <v>56</v>
      </c>
      <c r="J5" s="3">
        <f t="shared" si="0"/>
        <v>24</v>
      </c>
      <c r="K5" s="8">
        <v>80</v>
      </c>
      <c r="L5" s="8" t="str">
        <f t="shared" si="1"/>
        <v>GOOD</v>
      </c>
    </row>
    <row r="6" spans="1:12" x14ac:dyDescent="0.25">
      <c r="G6" s="28" t="s">
        <v>25</v>
      </c>
      <c r="H6" s="2" t="s">
        <v>24</v>
      </c>
      <c r="I6" s="3">
        <f t="shared" si="2"/>
        <v>49</v>
      </c>
      <c r="J6" s="3">
        <f t="shared" si="0"/>
        <v>21</v>
      </c>
      <c r="K6" s="3">
        <v>70</v>
      </c>
      <c r="L6" s="8" t="str">
        <f t="shared" si="1"/>
        <v>FAIR</v>
      </c>
    </row>
    <row r="7" spans="1:12" x14ac:dyDescent="0.25">
      <c r="A7" s="44" t="s">
        <v>474</v>
      </c>
      <c r="B7" s="44">
        <f>IF(D4=0, 0, D4+E4)</f>
        <v>100</v>
      </c>
      <c r="G7" s="28" t="s">
        <v>27</v>
      </c>
      <c r="H7" s="2" t="s">
        <v>26</v>
      </c>
      <c r="I7" s="3">
        <f t="shared" si="2"/>
        <v>42</v>
      </c>
      <c r="J7" s="3">
        <f t="shared" si="0"/>
        <v>18</v>
      </c>
      <c r="K7" s="3">
        <v>60</v>
      </c>
      <c r="L7" s="8" t="str">
        <f t="shared" si="1"/>
        <v>FAIR</v>
      </c>
    </row>
    <row r="8" spans="1:12" x14ac:dyDescent="0.25">
      <c r="A8" s="44" t="s">
        <v>475</v>
      </c>
      <c r="B8" s="44" t="str">
        <f>IF(AND(B7&gt;=80, B7&lt;=100), "GOOD", IF(AND(B7&gt;40, B7&lt;80), "FAIR", "POOR"))</f>
        <v>GOOD</v>
      </c>
      <c r="G8" s="28" t="s">
        <v>29</v>
      </c>
      <c r="H8" s="2" t="s">
        <v>28</v>
      </c>
      <c r="I8" s="3">
        <f t="shared" si="2"/>
        <v>35</v>
      </c>
      <c r="J8" s="3">
        <f t="shared" si="0"/>
        <v>15</v>
      </c>
      <c r="K8" s="3">
        <v>50</v>
      </c>
      <c r="L8" s="8" t="str">
        <f t="shared" si="1"/>
        <v>FAIR</v>
      </c>
    </row>
    <row r="9" spans="1:12" x14ac:dyDescent="0.25">
      <c r="G9" s="28" t="s">
        <v>31</v>
      </c>
      <c r="H9" s="2" t="s">
        <v>30</v>
      </c>
      <c r="I9" s="3">
        <f t="shared" si="2"/>
        <v>28</v>
      </c>
      <c r="J9" s="3">
        <f t="shared" si="0"/>
        <v>12</v>
      </c>
      <c r="K9" s="3">
        <v>40</v>
      </c>
      <c r="L9" s="8" t="str">
        <f t="shared" si="1"/>
        <v>POOR</v>
      </c>
    </row>
    <row r="10" spans="1:12" x14ac:dyDescent="0.25">
      <c r="G10" s="28" t="s">
        <v>33</v>
      </c>
      <c r="H10" s="2" t="s">
        <v>32</v>
      </c>
      <c r="I10" s="3">
        <f t="shared" si="2"/>
        <v>21</v>
      </c>
      <c r="J10" s="3">
        <f t="shared" si="0"/>
        <v>9</v>
      </c>
      <c r="K10" s="3">
        <v>30</v>
      </c>
      <c r="L10" s="8" t="str">
        <f t="shared" si="1"/>
        <v>POOR</v>
      </c>
    </row>
    <row r="11" spans="1:12" x14ac:dyDescent="0.25">
      <c r="G11" s="28" t="s">
        <v>35</v>
      </c>
      <c r="H11" s="2" t="s">
        <v>34</v>
      </c>
      <c r="I11" s="3">
        <f t="shared" si="2"/>
        <v>14</v>
      </c>
      <c r="J11" s="3">
        <f t="shared" si="0"/>
        <v>6</v>
      </c>
      <c r="K11" s="3">
        <v>20</v>
      </c>
      <c r="L11" s="8" t="str">
        <f t="shared" si="1"/>
        <v>POOR</v>
      </c>
    </row>
    <row r="12" spans="1:12" x14ac:dyDescent="0.25">
      <c r="G12" s="28" t="s">
        <v>37</v>
      </c>
      <c r="H12" s="2" t="s">
        <v>36</v>
      </c>
      <c r="I12" s="3">
        <f t="shared" si="2"/>
        <v>7</v>
      </c>
      <c r="J12" s="3">
        <f t="shared" si="0"/>
        <v>3</v>
      </c>
      <c r="K12" s="3">
        <v>10</v>
      </c>
      <c r="L12" s="8" t="str">
        <f t="shared" si="1"/>
        <v>POOR</v>
      </c>
    </row>
    <row r="13" spans="1:12" x14ac:dyDescent="0.25">
      <c r="G13" s="28" t="s">
        <v>39</v>
      </c>
      <c r="H13" s="11" t="s">
        <v>38</v>
      </c>
      <c r="I13" s="3">
        <f t="shared" si="2"/>
        <v>0</v>
      </c>
      <c r="J13" s="3">
        <f t="shared" si="0"/>
        <v>0</v>
      </c>
      <c r="K13" s="3">
        <v>0</v>
      </c>
      <c r="L13" s="8" t="str">
        <f t="shared" si="1"/>
        <v>POOR</v>
      </c>
    </row>
  </sheetData>
  <autoFilter ref="G1:L1" xr:uid="{66D44B00-3E8B-4E78-9DB2-9750B65F263F}">
    <sortState xmlns:xlrd2="http://schemas.microsoft.com/office/spreadsheetml/2017/richdata2" ref="G2:L12">
      <sortCondition descending="1" ref="K1"/>
    </sortState>
  </autoFilter>
  <mergeCells count="1">
    <mergeCell ref="A1:B1"/>
  </mergeCells>
  <dataValidations count="3">
    <dataValidation type="list" allowBlank="1" showInputMessage="1" showErrorMessage="1" sqref="A5" xr:uid="{1A98E645-F81B-47E6-8D90-339903DD5734}">
      <formula1>$K$7:$K$14</formula1>
    </dataValidation>
    <dataValidation type="list" allowBlank="1" showInputMessage="1" showErrorMessage="1" sqref="A4" xr:uid="{3A3C6188-E024-493C-9A2E-E3CF15547F7D}">
      <formula1>$G$2:$G$13</formula1>
    </dataValidation>
    <dataValidation type="list" allowBlank="1" showInputMessage="1" showErrorMessage="1" sqref="B4" xr:uid="{68E6FFE5-016F-4B39-B111-26B2607C0D00}">
      <formula1>$H$2:$H$13</formula1>
    </dataValidation>
  </dataValidation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9BCE73-F7ED-4394-B68E-A33A23D9540D}">
  <sheetPr>
    <tabColor rgb="FF92D050"/>
  </sheetPr>
  <dimension ref="A1:L12"/>
  <sheetViews>
    <sheetView workbookViewId="0">
      <selection activeCell="B7" sqref="B7"/>
    </sheetView>
  </sheetViews>
  <sheetFormatPr defaultRowHeight="15" x14ac:dyDescent="0.25"/>
  <cols>
    <col min="1" max="1" width="36" bestFit="1" customWidth="1"/>
    <col min="2" max="2" width="43" bestFit="1" customWidth="1"/>
    <col min="4" max="5" width="3" bestFit="1" customWidth="1"/>
    <col min="7" max="7" width="42.85546875" bestFit="1" customWidth="1"/>
    <col min="8" max="8" width="31.85546875" bestFit="1" customWidth="1"/>
    <col min="9" max="9" width="23.7109375" customWidth="1"/>
    <col min="10" max="10" width="32.5703125" bestFit="1" customWidth="1"/>
    <col min="11" max="11" width="15.140625" bestFit="1" customWidth="1"/>
    <col min="12" max="12" width="14.85546875" bestFit="1" customWidth="1"/>
  </cols>
  <sheetData>
    <row r="1" spans="1:12" s="1" customFormat="1" ht="24" x14ac:dyDescent="0.4">
      <c r="A1" s="78" t="s">
        <v>476</v>
      </c>
      <c r="B1" s="78"/>
      <c r="C1" s="26"/>
      <c r="D1" s="26"/>
      <c r="E1" s="26"/>
      <c r="G1" s="6" t="s">
        <v>443</v>
      </c>
      <c r="H1" s="6" t="s">
        <v>444</v>
      </c>
      <c r="I1" s="6" t="s">
        <v>447</v>
      </c>
      <c r="J1" s="6" t="s">
        <v>448</v>
      </c>
      <c r="K1" s="46" t="s">
        <v>449</v>
      </c>
      <c r="L1" s="6" t="s">
        <v>4</v>
      </c>
    </row>
    <row r="2" spans="1:12" x14ac:dyDescent="0.25">
      <c r="G2" s="40" t="s">
        <v>464</v>
      </c>
      <c r="H2" s="40" t="s">
        <v>465</v>
      </c>
      <c r="I2" s="35" t="s">
        <v>466</v>
      </c>
      <c r="J2" s="35" t="s">
        <v>466</v>
      </c>
    </row>
    <row r="3" spans="1:12" ht="30.75" customHeight="1" x14ac:dyDescent="0.25">
      <c r="A3" s="16" t="s">
        <v>460</v>
      </c>
      <c r="B3" s="16" t="s">
        <v>461</v>
      </c>
      <c r="D3" s="39" t="s">
        <v>462</v>
      </c>
      <c r="E3" s="39" t="s">
        <v>463</v>
      </c>
      <c r="G3" s="4" t="s">
        <v>0</v>
      </c>
      <c r="H3" s="4" t="s">
        <v>0</v>
      </c>
      <c r="I3" s="3">
        <v>50</v>
      </c>
      <c r="J3" s="3">
        <v>50</v>
      </c>
      <c r="K3" s="3">
        <f t="shared" ref="K3:K8" si="0">I3+J3</f>
        <v>100</v>
      </c>
      <c r="L3" s="8" t="str">
        <f t="shared" ref="L3:L8" si="1">IF(AND(K3&gt;=80, K3&lt;=100), "GOOD", IF(AND(K3&gt;40, K3&lt;80), "FAIR", "POOR"))</f>
        <v>GOOD</v>
      </c>
    </row>
    <row r="4" spans="1:12" ht="21" x14ac:dyDescent="0.55000000000000004">
      <c r="A4" s="45" t="s">
        <v>0</v>
      </c>
      <c r="B4" s="42" t="s">
        <v>0</v>
      </c>
      <c r="D4" s="7">
        <f>VLOOKUP(A4, G1:I8, 3, FALSE)</f>
        <v>50</v>
      </c>
      <c r="E4" s="7">
        <f>VLOOKUP(B4, H1:J8, 3, FALSE)</f>
        <v>50</v>
      </c>
      <c r="G4" s="9" t="s">
        <v>451</v>
      </c>
      <c r="H4" s="9" t="s">
        <v>455</v>
      </c>
      <c r="I4" s="3">
        <v>40</v>
      </c>
      <c r="J4" s="3">
        <v>40</v>
      </c>
      <c r="K4" s="3">
        <f t="shared" si="0"/>
        <v>80</v>
      </c>
      <c r="L4" s="8" t="str">
        <f t="shared" si="1"/>
        <v>GOOD</v>
      </c>
    </row>
    <row r="5" spans="1:12" ht="21" x14ac:dyDescent="0.55000000000000004">
      <c r="G5" s="9" t="s">
        <v>450</v>
      </c>
      <c r="H5" s="9" t="s">
        <v>456</v>
      </c>
      <c r="I5" s="3">
        <v>30</v>
      </c>
      <c r="J5" s="3">
        <v>30</v>
      </c>
      <c r="K5" s="3">
        <f t="shared" si="0"/>
        <v>60</v>
      </c>
      <c r="L5" s="8" t="str">
        <f t="shared" si="1"/>
        <v>FAIR</v>
      </c>
    </row>
    <row r="6" spans="1:12" ht="21" x14ac:dyDescent="0.55000000000000004">
      <c r="G6" s="9" t="s">
        <v>452</v>
      </c>
      <c r="H6" s="9" t="s">
        <v>457</v>
      </c>
      <c r="I6" s="3">
        <v>20</v>
      </c>
      <c r="J6" s="3">
        <v>20</v>
      </c>
      <c r="K6" s="3">
        <f t="shared" si="0"/>
        <v>40</v>
      </c>
      <c r="L6" s="8" t="str">
        <f t="shared" si="1"/>
        <v>POOR</v>
      </c>
    </row>
    <row r="7" spans="1:12" ht="21" x14ac:dyDescent="0.55000000000000004">
      <c r="A7" s="44" t="s">
        <v>477</v>
      </c>
      <c r="B7" s="44">
        <f>IF(OR(D4=0, E4=0), 0, D4+E4)</f>
        <v>100</v>
      </c>
      <c r="G7" s="9" t="s">
        <v>453</v>
      </c>
      <c r="H7" s="9" t="s">
        <v>458</v>
      </c>
      <c r="I7" s="3">
        <v>10</v>
      </c>
      <c r="J7" s="3">
        <v>10</v>
      </c>
      <c r="K7" s="3">
        <f t="shared" si="0"/>
        <v>20</v>
      </c>
      <c r="L7" s="8" t="str">
        <f t="shared" si="1"/>
        <v>POOR</v>
      </c>
    </row>
    <row r="8" spans="1:12" ht="21" x14ac:dyDescent="0.55000000000000004">
      <c r="A8" s="44" t="s">
        <v>478</v>
      </c>
      <c r="B8" s="44" t="str">
        <f>IF(AND(B7&gt;=80, B7&lt;=100), "GOOD", IF(AND(B7&gt;40, B7&lt;80), "FAIR", "POOR"))</f>
        <v>GOOD</v>
      </c>
      <c r="G8" s="9" t="s">
        <v>454</v>
      </c>
      <c r="H8" s="9" t="s">
        <v>459</v>
      </c>
      <c r="I8" s="3">
        <v>0</v>
      </c>
      <c r="J8" s="3">
        <v>0</v>
      </c>
      <c r="K8" s="3">
        <f t="shared" si="0"/>
        <v>0</v>
      </c>
      <c r="L8" s="8" t="str">
        <f t="shared" si="1"/>
        <v>POOR</v>
      </c>
    </row>
    <row r="12" spans="1:12" x14ac:dyDescent="0.25">
      <c r="J12" t="s">
        <v>256</v>
      </c>
    </row>
  </sheetData>
  <autoFilter ref="G1:M1" xr:uid="{789BCE73-F7ED-4394-B68E-A33A23D9540D}"/>
  <mergeCells count="1">
    <mergeCell ref="A1:B1"/>
  </mergeCells>
  <dataValidations count="3">
    <dataValidation type="list" allowBlank="1" showInputMessage="1" showErrorMessage="1" sqref="B4" xr:uid="{401C7DC0-302F-4A90-8812-10FA70DCA372}">
      <formula1>$H$2:$H$8</formula1>
    </dataValidation>
    <dataValidation type="list" allowBlank="1" showInputMessage="1" showErrorMessage="1" sqref="A4" xr:uid="{DE20AA46-442A-4F90-B738-EE6B2D095C65}">
      <formula1>$G$2:$G$8</formula1>
    </dataValidation>
    <dataValidation type="list" allowBlank="1" showInputMessage="1" showErrorMessage="1" sqref="A5" xr:uid="{2BE1543A-81C4-4DCF-B2F3-8467216C067C}">
      <formula1>$K$8:$K$14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57AC8-1C91-4748-B080-61CCC2DEAF80}">
  <sheetPr>
    <tabColor rgb="FF92D050"/>
  </sheetPr>
  <dimension ref="A1:L13"/>
  <sheetViews>
    <sheetView workbookViewId="0">
      <selection activeCell="B7" sqref="B7"/>
    </sheetView>
  </sheetViews>
  <sheetFormatPr defaultRowHeight="15" x14ac:dyDescent="0.25"/>
  <cols>
    <col min="1" max="1" width="36" bestFit="1" customWidth="1"/>
    <col min="2" max="2" width="37.140625" bestFit="1" customWidth="1"/>
    <col min="4" max="5" width="5.28515625" bestFit="1" customWidth="1"/>
    <col min="7" max="7" width="39.5703125" bestFit="1" customWidth="1"/>
    <col min="8" max="8" width="93.28515625" bestFit="1" customWidth="1"/>
    <col min="9" max="10" width="57.7109375" bestFit="1" customWidth="1"/>
    <col min="11" max="11" width="14.5703125" bestFit="1" customWidth="1"/>
    <col min="12" max="12" width="14.85546875" bestFit="1" customWidth="1"/>
  </cols>
  <sheetData>
    <row r="1" spans="1:12" s="1" customFormat="1" ht="46.5" customHeight="1" x14ac:dyDescent="0.4">
      <c r="A1" s="79" t="s">
        <v>489</v>
      </c>
      <c r="B1" s="79"/>
      <c r="C1"/>
      <c r="D1"/>
      <c r="E1"/>
      <c r="G1" s="6" t="s">
        <v>9</v>
      </c>
      <c r="H1" s="6" t="s">
        <v>8</v>
      </c>
      <c r="I1" s="6" t="s">
        <v>7</v>
      </c>
      <c r="J1" s="6" t="s">
        <v>6</v>
      </c>
      <c r="K1" s="6" t="s">
        <v>5</v>
      </c>
      <c r="L1" s="6" t="s">
        <v>4</v>
      </c>
    </row>
    <row r="2" spans="1:12" s="1" customFormat="1" x14ac:dyDescent="0.25">
      <c r="A2"/>
      <c r="B2"/>
      <c r="C2"/>
      <c r="D2"/>
      <c r="E2"/>
      <c r="G2" s="40" t="s">
        <v>430</v>
      </c>
      <c r="H2" s="40" t="s">
        <v>431</v>
      </c>
      <c r="I2" s="35" t="s">
        <v>432</v>
      </c>
      <c r="J2" s="35" t="s">
        <v>432</v>
      </c>
      <c r="K2" s="47"/>
      <c r="L2" s="47"/>
    </row>
    <row r="3" spans="1:12" x14ac:dyDescent="0.25">
      <c r="A3" s="16" t="s">
        <v>438</v>
      </c>
      <c r="B3" s="16" t="s">
        <v>437</v>
      </c>
      <c r="D3" s="39" t="s">
        <v>428</v>
      </c>
      <c r="E3" s="39" t="s">
        <v>429</v>
      </c>
      <c r="G3" s="4" t="s">
        <v>0</v>
      </c>
      <c r="H3" s="4" t="s">
        <v>0</v>
      </c>
      <c r="I3" s="3">
        <v>80</v>
      </c>
      <c r="J3" s="3">
        <v>20</v>
      </c>
      <c r="K3" s="3">
        <f t="shared" ref="K3:K13" si="0">I3+J3</f>
        <v>100</v>
      </c>
      <c r="L3" s="3" t="s">
        <v>1</v>
      </c>
    </row>
    <row r="4" spans="1:12" ht="30" x14ac:dyDescent="0.25">
      <c r="A4" s="42" t="s">
        <v>15</v>
      </c>
      <c r="B4" s="42" t="s">
        <v>482</v>
      </c>
      <c r="D4" s="1">
        <f>VLOOKUP(A4, G2:I13, 3,FALSE)</f>
        <v>32</v>
      </c>
      <c r="E4" s="1">
        <f>VLOOKUP(B4, H2:J13, 3, FALSE)</f>
        <v>12</v>
      </c>
      <c r="G4" s="4" t="s">
        <v>10</v>
      </c>
      <c r="H4" s="4" t="s">
        <v>480</v>
      </c>
      <c r="I4" s="3">
        <v>72</v>
      </c>
      <c r="J4" s="3">
        <v>18</v>
      </c>
      <c r="K4" s="3">
        <f t="shared" si="0"/>
        <v>90</v>
      </c>
      <c r="L4" s="3" t="s">
        <v>1</v>
      </c>
    </row>
    <row r="5" spans="1:12" x14ac:dyDescent="0.25">
      <c r="G5" s="4" t="s">
        <v>11</v>
      </c>
      <c r="H5" s="4" t="s">
        <v>481</v>
      </c>
      <c r="I5" s="3">
        <v>64</v>
      </c>
      <c r="J5" s="3">
        <v>16</v>
      </c>
      <c r="K5" s="3">
        <f t="shared" si="0"/>
        <v>80</v>
      </c>
      <c r="L5" s="3" t="s">
        <v>1</v>
      </c>
    </row>
    <row r="6" spans="1:12" x14ac:dyDescent="0.25">
      <c r="G6" s="4" t="s">
        <v>12</v>
      </c>
      <c r="H6" s="4" t="s">
        <v>479</v>
      </c>
      <c r="I6" s="3">
        <v>56</v>
      </c>
      <c r="J6" s="3">
        <v>14</v>
      </c>
      <c r="K6" s="3">
        <f t="shared" si="0"/>
        <v>70</v>
      </c>
      <c r="L6" s="3" t="s">
        <v>2</v>
      </c>
    </row>
    <row r="7" spans="1:12" x14ac:dyDescent="0.25">
      <c r="A7" s="36" t="s">
        <v>510</v>
      </c>
      <c r="B7" s="37">
        <f>IF(D4=0, 0, D4+E4)</f>
        <v>44</v>
      </c>
      <c r="G7" s="4" t="s">
        <v>13</v>
      </c>
      <c r="H7" s="4" t="s">
        <v>482</v>
      </c>
      <c r="I7" s="3">
        <v>48</v>
      </c>
      <c r="J7" s="3">
        <v>12</v>
      </c>
      <c r="K7" s="3">
        <f t="shared" si="0"/>
        <v>60</v>
      </c>
      <c r="L7" s="3" t="s">
        <v>2</v>
      </c>
    </row>
    <row r="8" spans="1:12" x14ac:dyDescent="0.25">
      <c r="A8" s="36" t="s">
        <v>511</v>
      </c>
      <c r="B8" s="37" t="str">
        <f>IF(AND(B7&gt;=80, B7&lt;=100), "GOOD", IF(AND(B7&gt;40, B7&lt;80), "FAIR", "POOR"))</f>
        <v>FAIR</v>
      </c>
      <c r="G8" s="4" t="s">
        <v>14</v>
      </c>
      <c r="H8" s="4" t="s">
        <v>483</v>
      </c>
      <c r="I8" s="3">
        <v>40</v>
      </c>
      <c r="J8" s="3">
        <v>10</v>
      </c>
      <c r="K8" s="3">
        <f t="shared" si="0"/>
        <v>50</v>
      </c>
      <c r="L8" s="3" t="s">
        <v>2</v>
      </c>
    </row>
    <row r="9" spans="1:12" x14ac:dyDescent="0.25">
      <c r="G9" s="4" t="s">
        <v>15</v>
      </c>
      <c r="H9" s="4" t="s">
        <v>484</v>
      </c>
      <c r="I9" s="3">
        <v>32</v>
      </c>
      <c r="J9" s="3">
        <v>8</v>
      </c>
      <c r="K9" s="3">
        <f t="shared" si="0"/>
        <v>40</v>
      </c>
      <c r="L9" s="3" t="s">
        <v>3</v>
      </c>
    </row>
    <row r="10" spans="1:12" x14ac:dyDescent="0.25">
      <c r="G10" s="4" t="s">
        <v>16</v>
      </c>
      <c r="H10" s="4" t="s">
        <v>485</v>
      </c>
      <c r="I10" s="3">
        <v>24</v>
      </c>
      <c r="J10" s="3">
        <v>6</v>
      </c>
      <c r="K10" s="3">
        <f t="shared" si="0"/>
        <v>30</v>
      </c>
      <c r="L10" s="3" t="s">
        <v>3</v>
      </c>
    </row>
    <row r="11" spans="1:12" x14ac:dyDescent="0.25">
      <c r="G11" s="4" t="s">
        <v>17</v>
      </c>
      <c r="H11" s="4" t="s">
        <v>486</v>
      </c>
      <c r="I11" s="3">
        <v>16</v>
      </c>
      <c r="J11" s="3">
        <v>4</v>
      </c>
      <c r="K11" s="3">
        <f t="shared" si="0"/>
        <v>20</v>
      </c>
      <c r="L11" s="3" t="s">
        <v>3</v>
      </c>
    </row>
    <row r="12" spans="1:12" x14ac:dyDescent="0.25">
      <c r="G12" s="4" t="s">
        <v>18</v>
      </c>
      <c r="H12" s="4" t="s">
        <v>487</v>
      </c>
      <c r="I12" s="3">
        <v>8</v>
      </c>
      <c r="J12" s="3">
        <v>2</v>
      </c>
      <c r="K12" s="3">
        <f t="shared" si="0"/>
        <v>10</v>
      </c>
      <c r="L12" s="3" t="s">
        <v>3</v>
      </c>
    </row>
    <row r="13" spans="1:12" x14ac:dyDescent="0.25">
      <c r="G13" s="4" t="s">
        <v>19</v>
      </c>
      <c r="H13" s="4" t="s">
        <v>488</v>
      </c>
      <c r="I13" s="3">
        <v>0</v>
      </c>
      <c r="J13" s="3">
        <v>0</v>
      </c>
      <c r="K13" s="3">
        <f t="shared" si="0"/>
        <v>0</v>
      </c>
      <c r="L13" s="3" t="s">
        <v>3</v>
      </c>
    </row>
  </sheetData>
  <autoFilter ref="G1:L1" xr:uid="{9E257AC8-1C91-4748-B080-61CCC2DEAF80}"/>
  <mergeCells count="1">
    <mergeCell ref="A1:B1"/>
  </mergeCells>
  <dataValidations count="3">
    <dataValidation type="list" allowBlank="1" showInputMessage="1" showErrorMessage="1" sqref="B4" xr:uid="{51382C8E-8624-427F-A44E-34EB0FFCA6D0}">
      <formula1>$H$2:$H$13</formula1>
    </dataValidation>
    <dataValidation type="list" allowBlank="1" showInputMessage="1" showErrorMessage="1" sqref="A4" xr:uid="{A8164BBA-6BD7-446D-AA63-DAF7EF08149A}">
      <formula1>$G$2:$G$13</formula1>
    </dataValidation>
    <dataValidation type="list" allowBlank="1" showInputMessage="1" showErrorMessage="1" sqref="A5" xr:uid="{1EDC5974-6DAF-4675-A704-04586D6B4378}">
      <formula1>$K$4:$K$12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55BD36-35A0-43D7-915B-8FC417866E76}">
  <sheetPr>
    <tabColor rgb="FF92D050"/>
  </sheetPr>
  <dimension ref="A1:L11"/>
  <sheetViews>
    <sheetView workbookViewId="0">
      <selection activeCell="B4" sqref="B4"/>
    </sheetView>
  </sheetViews>
  <sheetFormatPr defaultRowHeight="15" x14ac:dyDescent="0.25"/>
  <cols>
    <col min="1" max="1" width="39" customWidth="1"/>
    <col min="2" max="2" width="38.7109375" customWidth="1"/>
    <col min="4" max="5" width="5.28515625" bestFit="1" customWidth="1"/>
    <col min="7" max="7" width="73.85546875" bestFit="1" customWidth="1"/>
    <col min="8" max="8" width="37" bestFit="1" customWidth="1"/>
    <col min="9" max="9" width="19.7109375" bestFit="1" customWidth="1"/>
    <col min="10" max="10" width="21" bestFit="1" customWidth="1"/>
    <col min="11" max="11" width="10" bestFit="1" customWidth="1"/>
    <col min="12" max="12" width="10.28515625" bestFit="1" customWidth="1"/>
  </cols>
  <sheetData>
    <row r="1" spans="1:12" s="1" customFormat="1" ht="24" x14ac:dyDescent="0.4">
      <c r="A1" s="78" t="s">
        <v>509</v>
      </c>
      <c r="B1" s="78"/>
      <c r="C1"/>
      <c r="D1"/>
      <c r="E1"/>
      <c r="G1" s="6" t="s">
        <v>9</v>
      </c>
      <c r="H1" s="6" t="s">
        <v>8</v>
      </c>
      <c r="I1" s="6" t="s">
        <v>7</v>
      </c>
      <c r="J1" s="6" t="s">
        <v>6</v>
      </c>
      <c r="K1" s="6" t="s">
        <v>5</v>
      </c>
      <c r="L1" s="6" t="s">
        <v>4</v>
      </c>
    </row>
    <row r="2" spans="1:12" x14ac:dyDescent="0.25">
      <c r="G2" s="40" t="s">
        <v>430</v>
      </c>
      <c r="H2" s="40" t="s">
        <v>431</v>
      </c>
      <c r="I2" s="35" t="s">
        <v>432</v>
      </c>
      <c r="J2" s="35" t="s">
        <v>432</v>
      </c>
      <c r="K2" s="35"/>
      <c r="L2" s="35"/>
    </row>
    <row r="3" spans="1:12" s="1" customFormat="1" ht="28.5" customHeight="1" x14ac:dyDescent="0.25">
      <c r="A3" s="16" t="s">
        <v>438</v>
      </c>
      <c r="B3" s="16" t="s">
        <v>437</v>
      </c>
      <c r="C3"/>
      <c r="D3" s="39" t="s">
        <v>428</v>
      </c>
      <c r="E3" s="39" t="s">
        <v>429</v>
      </c>
      <c r="G3" s="4" t="s">
        <v>0</v>
      </c>
      <c r="H3" s="4" t="s">
        <v>0</v>
      </c>
      <c r="I3" s="3">
        <v>80</v>
      </c>
      <c r="J3" s="3">
        <v>20</v>
      </c>
      <c r="K3" s="3">
        <f>I3+J3</f>
        <v>100</v>
      </c>
      <c r="L3" s="3" t="str">
        <f>IF(AND(K3&gt;=80, K3&lt;=100), "GOOD", IF(AND(K3&gt;40, K3&lt;80), "FAIR", "POOR"))</f>
        <v>GOOD</v>
      </c>
    </row>
    <row r="4" spans="1:12" ht="21" x14ac:dyDescent="0.55000000000000004">
      <c r="A4" s="7" t="s">
        <v>498</v>
      </c>
      <c r="B4" s="7" t="s">
        <v>0</v>
      </c>
      <c r="D4" s="1">
        <f>VLOOKUP(A4, G1:I11, 3,FALSE)</f>
        <v>60</v>
      </c>
      <c r="E4" s="1">
        <f>VLOOKUP(B4, H1:J11, 3, FALSE)</f>
        <v>20</v>
      </c>
      <c r="G4" s="9" t="s">
        <v>497</v>
      </c>
      <c r="H4" s="2" t="s">
        <v>420</v>
      </c>
      <c r="I4" s="3">
        <v>70</v>
      </c>
      <c r="J4" s="3">
        <f>J3-2</f>
        <v>18</v>
      </c>
      <c r="K4" s="3">
        <f t="shared" ref="K4:K11" si="0">I4+J4</f>
        <v>88</v>
      </c>
      <c r="L4" s="3" t="str">
        <f t="shared" ref="L4:L11" si="1">IF(AND(K4&gt;=80, K4&lt;=100), "GOOD", IF(AND(K4&gt;40, K4&lt;80), "FAIR", "POOR"))</f>
        <v>GOOD</v>
      </c>
    </row>
    <row r="5" spans="1:12" ht="21" x14ac:dyDescent="0.55000000000000004">
      <c r="G5" s="9" t="s">
        <v>498</v>
      </c>
      <c r="H5" s="2" t="s">
        <v>421</v>
      </c>
      <c r="I5" s="3">
        <v>60</v>
      </c>
      <c r="J5" s="3">
        <f t="shared" ref="J5:J10" si="2">J4-2</f>
        <v>16</v>
      </c>
      <c r="K5" s="3">
        <f t="shared" si="0"/>
        <v>76</v>
      </c>
      <c r="L5" s="3" t="str">
        <f t="shared" si="1"/>
        <v>FAIR</v>
      </c>
    </row>
    <row r="6" spans="1:12" ht="21" x14ac:dyDescent="0.55000000000000004">
      <c r="G6" s="9" t="s">
        <v>499</v>
      </c>
      <c r="H6" s="2" t="s">
        <v>422</v>
      </c>
      <c r="I6" s="3">
        <v>50</v>
      </c>
      <c r="J6" s="3">
        <f t="shared" si="2"/>
        <v>14</v>
      </c>
      <c r="K6" s="3">
        <f t="shared" si="0"/>
        <v>64</v>
      </c>
      <c r="L6" s="3" t="str">
        <f t="shared" si="1"/>
        <v>FAIR</v>
      </c>
    </row>
    <row r="7" spans="1:12" ht="21" x14ac:dyDescent="0.55000000000000004">
      <c r="A7" s="36" t="s">
        <v>512</v>
      </c>
      <c r="B7" s="37">
        <f>IF(D4=0, 0, D4+E4)</f>
        <v>80</v>
      </c>
      <c r="G7" s="9" t="s">
        <v>500</v>
      </c>
      <c r="H7" s="2" t="s">
        <v>423</v>
      </c>
      <c r="I7" s="3">
        <v>40</v>
      </c>
      <c r="J7" s="3">
        <f t="shared" si="2"/>
        <v>12</v>
      </c>
      <c r="K7" s="3">
        <f t="shared" si="0"/>
        <v>52</v>
      </c>
      <c r="L7" s="3" t="str">
        <f t="shared" si="1"/>
        <v>FAIR</v>
      </c>
    </row>
    <row r="8" spans="1:12" ht="21" x14ac:dyDescent="0.55000000000000004">
      <c r="A8" s="36" t="s">
        <v>513</v>
      </c>
      <c r="B8" s="37" t="str">
        <f>IF(AND(B7&gt;=80, B7&lt;=100), "GOOD", IF(AND(B7&gt;40, B7&lt;80), "FAIR", "POOR"))</f>
        <v>GOOD</v>
      </c>
      <c r="G8" s="9" t="s">
        <v>501</v>
      </c>
      <c r="H8" s="2" t="s">
        <v>505</v>
      </c>
      <c r="I8" s="3">
        <v>30</v>
      </c>
      <c r="J8" s="3">
        <f t="shared" si="2"/>
        <v>10</v>
      </c>
      <c r="K8" s="3">
        <f t="shared" si="0"/>
        <v>40</v>
      </c>
      <c r="L8" s="3" t="str">
        <f t="shared" si="1"/>
        <v>POOR</v>
      </c>
    </row>
    <row r="9" spans="1:12" ht="21" x14ac:dyDescent="0.55000000000000004">
      <c r="G9" s="9" t="s">
        <v>502</v>
      </c>
      <c r="H9" s="2" t="s">
        <v>506</v>
      </c>
      <c r="I9" s="3">
        <v>20</v>
      </c>
      <c r="J9" s="3">
        <f t="shared" si="2"/>
        <v>8</v>
      </c>
      <c r="K9" s="3">
        <f t="shared" si="0"/>
        <v>28</v>
      </c>
      <c r="L9" s="3" t="str">
        <f t="shared" si="1"/>
        <v>POOR</v>
      </c>
    </row>
    <row r="10" spans="1:12" ht="21" x14ac:dyDescent="0.55000000000000004">
      <c r="G10" s="9" t="s">
        <v>503</v>
      </c>
      <c r="H10" s="2" t="s">
        <v>507</v>
      </c>
      <c r="I10" s="3">
        <v>10</v>
      </c>
      <c r="J10" s="3">
        <f t="shared" si="2"/>
        <v>6</v>
      </c>
      <c r="K10" s="3">
        <f t="shared" si="0"/>
        <v>16</v>
      </c>
      <c r="L10" s="3" t="str">
        <f t="shared" si="1"/>
        <v>POOR</v>
      </c>
    </row>
    <row r="11" spans="1:12" ht="21" x14ac:dyDescent="0.55000000000000004">
      <c r="G11" s="9" t="s">
        <v>504</v>
      </c>
      <c r="H11" s="2" t="s">
        <v>508</v>
      </c>
      <c r="I11" s="3">
        <v>0</v>
      </c>
      <c r="J11" s="3">
        <v>0</v>
      </c>
      <c r="K11" s="3">
        <f t="shared" si="0"/>
        <v>0</v>
      </c>
      <c r="L11" s="3" t="str">
        <f t="shared" si="1"/>
        <v>POOR</v>
      </c>
    </row>
  </sheetData>
  <mergeCells count="1">
    <mergeCell ref="A1:B1"/>
  </mergeCells>
  <dataValidations count="3">
    <dataValidation type="list" allowBlank="1" showInputMessage="1" showErrorMessage="1" sqref="B4" xr:uid="{547F6E82-4A93-435E-8A52-430744FEB800}">
      <formula1>$H$2:$H$11</formula1>
    </dataValidation>
    <dataValidation type="list" allowBlank="1" showInputMessage="1" showErrorMessage="1" sqref="A4" xr:uid="{C78EBB66-2FFD-4E9F-8AF0-39E6E57ACE41}">
      <formula1>$G$2:$G$11</formula1>
    </dataValidation>
    <dataValidation type="list" allowBlank="1" showInputMessage="1" showErrorMessage="1" sqref="A5" xr:uid="{A1F66CE3-641E-4583-8F70-AD7A1FFCF060}">
      <formula1>$K$4:$K$12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66360B-2378-4D6C-9531-03286099E70C}">
  <sheetPr>
    <tabColor rgb="FF92D050"/>
  </sheetPr>
  <dimension ref="A1:T15"/>
  <sheetViews>
    <sheetView zoomScale="130" zoomScaleNormal="130" workbookViewId="0">
      <selection activeCell="A11" sqref="A11"/>
    </sheetView>
  </sheetViews>
  <sheetFormatPr defaultRowHeight="15" x14ac:dyDescent="0.25"/>
  <cols>
    <col min="1" max="1" width="19.42578125" customWidth="1"/>
    <col min="2" max="2" width="25.28515625" customWidth="1"/>
    <col min="3" max="3" width="20.28515625" bestFit="1" customWidth="1"/>
    <col min="4" max="4" width="20.28515625" customWidth="1"/>
    <col min="5" max="5" width="10" hidden="1" customWidth="1"/>
    <col min="6" max="7" width="5.28515625" hidden="1" customWidth="1"/>
    <col min="8" max="8" width="0" hidden="1" customWidth="1"/>
    <col min="9" max="9" width="23.85546875" hidden="1" customWidth="1"/>
    <col min="10" max="10" width="34.28515625" hidden="1" customWidth="1"/>
    <col min="11" max="11" width="18.140625" hidden="1" customWidth="1"/>
    <col min="12" max="12" width="18.85546875" hidden="1" customWidth="1"/>
    <col min="13" max="13" width="10.140625" hidden="1" customWidth="1"/>
    <col min="14" max="14" width="10.28515625" hidden="1" customWidth="1"/>
    <col min="15" max="16" width="0" hidden="1" customWidth="1"/>
    <col min="17" max="17" width="29.28515625" hidden="1" customWidth="1"/>
    <col min="18" max="18" width="21.7109375" hidden="1" customWidth="1"/>
    <col min="19" max="19" width="33.5703125" hidden="1" customWidth="1"/>
    <col min="20" max="20" width="34" hidden="1" customWidth="1"/>
  </cols>
  <sheetData>
    <row r="1" spans="1:20" s="1" customFormat="1" ht="24" x14ac:dyDescent="0.4">
      <c r="A1" s="80" t="s">
        <v>520</v>
      </c>
      <c r="B1" s="80"/>
      <c r="C1" s="80"/>
      <c r="D1" s="80"/>
      <c r="E1"/>
      <c r="F1"/>
      <c r="G1"/>
      <c r="I1" s="6" t="s">
        <v>80</v>
      </c>
      <c r="J1" s="6" t="s">
        <v>79</v>
      </c>
      <c r="K1" s="6" t="s">
        <v>102</v>
      </c>
      <c r="L1" s="6" t="s">
        <v>103</v>
      </c>
      <c r="M1" s="6" t="s">
        <v>105</v>
      </c>
      <c r="N1" s="6" t="s">
        <v>4</v>
      </c>
    </row>
    <row r="2" spans="1:20" x14ac:dyDescent="0.25">
      <c r="I2" s="10" t="s">
        <v>524</v>
      </c>
      <c r="J2" s="10" t="s">
        <v>525</v>
      </c>
      <c r="K2" s="10" t="s">
        <v>526</v>
      </c>
      <c r="L2" s="10" t="s">
        <v>527</v>
      </c>
      <c r="M2" s="10"/>
      <c r="N2" s="10"/>
      <c r="Q2" s="48" t="s">
        <v>519</v>
      </c>
      <c r="R2" s="48" t="s">
        <v>514</v>
      </c>
      <c r="S2" s="48" t="s">
        <v>516</v>
      </c>
      <c r="T2" s="48" t="s">
        <v>517</v>
      </c>
    </row>
    <row r="3" spans="1:20" ht="24.95" customHeight="1" x14ac:dyDescent="0.25">
      <c r="A3" s="81" t="s">
        <v>521</v>
      </c>
      <c r="B3" s="81"/>
      <c r="C3" s="81"/>
      <c r="D3" s="81"/>
      <c r="F3" s="39"/>
      <c r="G3" s="39"/>
      <c r="I3" s="19" t="s">
        <v>0</v>
      </c>
      <c r="J3" s="19" t="s">
        <v>0</v>
      </c>
      <c r="K3" s="8">
        <f t="shared" ref="K3:K13" si="0">M3*0.7</f>
        <v>70</v>
      </c>
      <c r="L3" s="8">
        <f t="shared" ref="L3:L13" si="1">M3*0.3</f>
        <v>30</v>
      </c>
      <c r="M3" s="8">
        <v>100</v>
      </c>
      <c r="N3" s="8" t="s">
        <v>1</v>
      </c>
      <c r="Q3" s="2" t="s">
        <v>532</v>
      </c>
      <c r="R3" s="2" t="s">
        <v>515</v>
      </c>
      <c r="S3" s="3">
        <v>200</v>
      </c>
      <c r="T3" s="3">
        <v>150</v>
      </c>
    </row>
    <row r="4" spans="1:20" x14ac:dyDescent="0.25">
      <c r="F4" s="1"/>
      <c r="G4" s="1"/>
      <c r="I4" s="19" t="s">
        <v>108</v>
      </c>
      <c r="J4" s="19" t="s">
        <v>107</v>
      </c>
      <c r="K4" s="8">
        <f t="shared" si="0"/>
        <v>62.999999999999993</v>
      </c>
      <c r="L4" s="8">
        <f t="shared" si="1"/>
        <v>27</v>
      </c>
      <c r="M4" s="8">
        <v>90</v>
      </c>
      <c r="N4" s="8" t="s">
        <v>1</v>
      </c>
      <c r="Q4" s="2" t="s">
        <v>533</v>
      </c>
      <c r="R4" s="2" t="s">
        <v>518</v>
      </c>
      <c r="S4" s="3">
        <v>150</v>
      </c>
      <c r="T4" s="3">
        <v>100</v>
      </c>
    </row>
    <row r="5" spans="1:20" ht="45" x14ac:dyDescent="0.25">
      <c r="A5" s="32" t="s">
        <v>530</v>
      </c>
      <c r="B5" s="32" t="s">
        <v>531</v>
      </c>
      <c r="C5" s="32" t="s">
        <v>522</v>
      </c>
      <c r="D5" s="32" t="s">
        <v>523</v>
      </c>
      <c r="E5" s="39" t="s">
        <v>538</v>
      </c>
      <c r="F5" s="39" t="s">
        <v>415</v>
      </c>
      <c r="G5" s="39" t="s">
        <v>416</v>
      </c>
      <c r="I5" s="19" t="s">
        <v>110</v>
      </c>
      <c r="J5" s="19" t="s">
        <v>109</v>
      </c>
      <c r="K5" s="8">
        <f t="shared" si="0"/>
        <v>56</v>
      </c>
      <c r="L5" s="8">
        <f t="shared" si="1"/>
        <v>24</v>
      </c>
      <c r="M5" s="8">
        <v>80</v>
      </c>
      <c r="N5" s="8" t="s">
        <v>1</v>
      </c>
    </row>
    <row r="6" spans="1:20" ht="30" x14ac:dyDescent="0.25">
      <c r="A6" s="42" t="s">
        <v>532</v>
      </c>
      <c r="B6" s="7" t="s">
        <v>535</v>
      </c>
      <c r="C6" s="7"/>
      <c r="D6" s="53" t="s">
        <v>113</v>
      </c>
      <c r="E6" t="str">
        <f>CONCATENATE(A6,B6)</f>
        <v>E &amp; D Roads with limited accessWhite</v>
      </c>
      <c r="F6" s="7">
        <f>ROUND(70*(C6/VLOOKUP(E6, S6:T10, 2, FALSE)),0)</f>
        <v>0</v>
      </c>
      <c r="G6" s="7">
        <f>VLOOKUP(D6, J1:L13, 3, FALSE)</f>
        <v>18</v>
      </c>
      <c r="I6" s="19" t="s">
        <v>112</v>
      </c>
      <c r="J6" s="19" t="s">
        <v>111</v>
      </c>
      <c r="K6" s="8">
        <f t="shared" si="0"/>
        <v>49</v>
      </c>
      <c r="L6" s="8">
        <f t="shared" si="1"/>
        <v>21</v>
      </c>
      <c r="M6" s="8">
        <v>70</v>
      </c>
      <c r="N6" s="8" t="s">
        <v>2</v>
      </c>
      <c r="Q6" s="51" t="s">
        <v>519</v>
      </c>
      <c r="R6" s="51" t="s">
        <v>534</v>
      </c>
      <c r="S6" s="1" t="s">
        <v>538</v>
      </c>
      <c r="T6" s="51" t="s">
        <v>537</v>
      </c>
    </row>
    <row r="7" spans="1:20" x14ac:dyDescent="0.25">
      <c r="I7" s="19" t="s">
        <v>114</v>
      </c>
      <c r="J7" s="19" t="s">
        <v>113</v>
      </c>
      <c r="K7" s="8">
        <f t="shared" si="0"/>
        <v>42</v>
      </c>
      <c r="L7" s="8">
        <f t="shared" si="1"/>
        <v>18</v>
      </c>
      <c r="M7" s="8">
        <v>60</v>
      </c>
      <c r="N7" s="8" t="s">
        <v>2</v>
      </c>
      <c r="Q7" s="8" t="s">
        <v>532</v>
      </c>
      <c r="R7" s="8" t="s">
        <v>535</v>
      </c>
      <c r="S7" s="7" t="str">
        <f>CONCATENATE(Q7,R7)</f>
        <v>E &amp; D Roads with limited accessWhite</v>
      </c>
      <c r="T7" s="8">
        <v>200</v>
      </c>
    </row>
    <row r="8" spans="1:20" ht="24.95" customHeight="1" x14ac:dyDescent="0.25">
      <c r="A8" s="49" t="s">
        <v>528</v>
      </c>
      <c r="B8" s="49"/>
      <c r="C8" s="49"/>
      <c r="D8" s="49"/>
      <c r="I8" s="19" t="s">
        <v>116</v>
      </c>
      <c r="J8" s="19" t="s">
        <v>115</v>
      </c>
      <c r="K8" s="8">
        <f t="shared" si="0"/>
        <v>35</v>
      </c>
      <c r="L8" s="8">
        <f t="shared" si="1"/>
        <v>15</v>
      </c>
      <c r="M8" s="8">
        <v>50</v>
      </c>
      <c r="N8" s="8" t="s">
        <v>2</v>
      </c>
      <c r="Q8" s="8" t="s">
        <v>532</v>
      </c>
      <c r="R8" s="8" t="s">
        <v>536</v>
      </c>
      <c r="S8" s="7" t="str">
        <f>CONCATENATE(Q8,R8)</f>
        <v>E &amp; D Roads with limited accessYellow</v>
      </c>
      <c r="T8" s="8">
        <v>150</v>
      </c>
    </row>
    <row r="9" spans="1:20" ht="24.95" customHeight="1" x14ac:dyDescent="0.25">
      <c r="I9" s="19" t="s">
        <v>118</v>
      </c>
      <c r="J9" s="19" t="s">
        <v>117</v>
      </c>
      <c r="K9" s="8">
        <f t="shared" si="0"/>
        <v>28</v>
      </c>
      <c r="L9" s="8">
        <f t="shared" si="1"/>
        <v>12</v>
      </c>
      <c r="M9" s="8">
        <v>40</v>
      </c>
      <c r="N9" s="8" t="s">
        <v>3</v>
      </c>
      <c r="Q9" s="8" t="s">
        <v>533</v>
      </c>
      <c r="R9" s="8" t="s">
        <v>535</v>
      </c>
      <c r="S9" s="7" t="str">
        <f>CONCATENATE(Q9,R9)</f>
        <v>D Roads without limited accessWhite</v>
      </c>
      <c r="T9" s="8">
        <v>150</v>
      </c>
    </row>
    <row r="10" spans="1:20" ht="45" x14ac:dyDescent="0.25">
      <c r="A10" s="32" t="s">
        <v>529</v>
      </c>
      <c r="B10" s="32" t="s">
        <v>523</v>
      </c>
      <c r="I10" s="19" t="s">
        <v>120</v>
      </c>
      <c r="J10" s="19" t="s">
        <v>119</v>
      </c>
      <c r="K10" s="8">
        <f t="shared" si="0"/>
        <v>21</v>
      </c>
      <c r="L10" s="8">
        <f t="shared" si="1"/>
        <v>9</v>
      </c>
      <c r="M10" s="8">
        <v>30</v>
      </c>
      <c r="N10" s="8" t="s">
        <v>3</v>
      </c>
      <c r="Q10" s="8" t="s">
        <v>533</v>
      </c>
      <c r="R10" s="8" t="s">
        <v>536</v>
      </c>
      <c r="S10" s="7" t="str">
        <f>CONCATENATE(Q10,R10)</f>
        <v>D Roads without limited accessYellow</v>
      </c>
      <c r="T10" s="8">
        <v>100</v>
      </c>
    </row>
    <row r="11" spans="1:20" x14ac:dyDescent="0.25">
      <c r="A11" s="7" t="s">
        <v>116</v>
      </c>
      <c r="B11" s="7" t="s">
        <v>111</v>
      </c>
      <c r="F11" s="39" t="s">
        <v>415</v>
      </c>
      <c r="G11" s="39" t="s">
        <v>416</v>
      </c>
      <c r="I11" s="19" t="s">
        <v>122</v>
      </c>
      <c r="J11" s="19" t="s">
        <v>121</v>
      </c>
      <c r="K11" s="8">
        <f t="shared" si="0"/>
        <v>14</v>
      </c>
      <c r="L11" s="8">
        <f t="shared" si="1"/>
        <v>6</v>
      </c>
      <c r="M11" s="8">
        <v>20</v>
      </c>
      <c r="N11" s="8" t="s">
        <v>3</v>
      </c>
    </row>
    <row r="12" spans="1:20" x14ac:dyDescent="0.25">
      <c r="F12" s="7">
        <f>VLOOKUP(A11, I2:K13, 3, FALSE)</f>
        <v>35</v>
      </c>
      <c r="G12" s="7">
        <f>VLOOKUP(B11, J2:L13, 3, FALSE)</f>
        <v>21</v>
      </c>
      <c r="I12" s="19" t="s">
        <v>124</v>
      </c>
      <c r="J12" s="19" t="s">
        <v>123</v>
      </c>
      <c r="K12" s="8">
        <f t="shared" si="0"/>
        <v>7</v>
      </c>
      <c r="L12" s="8">
        <f t="shared" si="1"/>
        <v>3</v>
      </c>
      <c r="M12" s="8">
        <v>10</v>
      </c>
      <c r="N12" s="8" t="s">
        <v>3</v>
      </c>
    </row>
    <row r="13" spans="1:20" x14ac:dyDescent="0.25">
      <c r="I13" s="19" t="s">
        <v>126</v>
      </c>
      <c r="J13" s="19" t="s">
        <v>125</v>
      </c>
      <c r="K13" s="8">
        <f t="shared" si="0"/>
        <v>0</v>
      </c>
      <c r="L13" s="8">
        <f t="shared" si="1"/>
        <v>0</v>
      </c>
      <c r="M13" s="8">
        <v>0</v>
      </c>
      <c r="N13" s="8" t="s">
        <v>3</v>
      </c>
    </row>
    <row r="14" spans="1:20" x14ac:dyDescent="0.25">
      <c r="A14" s="36" t="s">
        <v>539</v>
      </c>
      <c r="B14" s="37">
        <f>IF(NOT(ISBLANK(C6)), F6+G6,F12+G12)</f>
        <v>56</v>
      </c>
    </row>
    <row r="15" spans="1:20" x14ac:dyDescent="0.25">
      <c r="A15" s="36" t="s">
        <v>540</v>
      </c>
      <c r="B15" s="37" t="str">
        <f>IF(AND(B14&gt;=80, B14&lt;=100), "GOOD", IF(AND(B14&gt;40, B14&lt;80), "FAIR", "POOR"))</f>
        <v>FAIR</v>
      </c>
    </row>
  </sheetData>
  <autoFilter ref="I1:N1" xr:uid="{C666360B-2378-4D6C-9531-03286099E70C}"/>
  <mergeCells count="2">
    <mergeCell ref="A1:D1"/>
    <mergeCell ref="A3:D3"/>
  </mergeCells>
  <dataValidations count="4">
    <dataValidation type="list" allowBlank="1" showInputMessage="1" showErrorMessage="1" sqref="A11" xr:uid="{1235054A-0E04-4854-ADB8-7C3AFFFB23A9}">
      <formula1>$I$2:$I$13</formula1>
    </dataValidation>
    <dataValidation type="list" allowBlank="1" showInputMessage="1" showErrorMessage="1" sqref="B11 D6" xr:uid="{02C7F273-A6A2-4662-900A-F4A94F818EE3}">
      <formula1>$J$2:$J$13</formula1>
    </dataValidation>
    <dataValidation type="list" allowBlank="1" showInputMessage="1" showErrorMessage="1" sqref="A6" xr:uid="{02BA32C9-DD10-4645-B86B-4B0600E29CD8}">
      <formula1>$Q$3:$Q$4</formula1>
    </dataValidation>
    <dataValidation type="list" allowBlank="1" showInputMessage="1" showErrorMessage="1" sqref="B6" xr:uid="{2099C7E3-B412-4B5B-AF85-5C384D0495A7}">
      <formula1>$R$7:$R$8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0B6C78-7203-4205-AC12-10962FE029D8}">
  <sheetPr>
    <tabColor rgb="FF92D050"/>
  </sheetPr>
  <dimension ref="A1:L11"/>
  <sheetViews>
    <sheetView workbookViewId="0">
      <selection activeCell="B7" sqref="B7"/>
    </sheetView>
  </sheetViews>
  <sheetFormatPr defaultColWidth="9.140625" defaultRowHeight="15" x14ac:dyDescent="0.25"/>
  <cols>
    <col min="1" max="1" width="43.5703125" style="12" bestFit="1" customWidth="1"/>
    <col min="2" max="2" width="37.140625" style="12" bestFit="1" customWidth="1"/>
    <col min="3" max="3" width="9.140625" style="12"/>
    <col min="4" max="4" width="5.28515625" style="12" bestFit="1" customWidth="1"/>
    <col min="5" max="5" width="3" style="12" bestFit="1" customWidth="1"/>
    <col min="6" max="6" width="9.140625" style="12"/>
    <col min="7" max="7" width="34.5703125" style="27" bestFit="1" customWidth="1"/>
    <col min="8" max="8" width="42.140625" style="27" bestFit="1" customWidth="1"/>
    <col min="9" max="9" width="31" style="12" customWidth="1"/>
    <col min="10" max="10" width="33.140625" style="12" customWidth="1"/>
    <col min="11" max="11" width="14.5703125" style="12" bestFit="1" customWidth="1"/>
    <col min="12" max="12" width="14.85546875" style="12" bestFit="1" customWidth="1"/>
    <col min="13" max="16384" width="9.140625" style="12"/>
  </cols>
  <sheetData>
    <row r="1" spans="1:12" s="13" customFormat="1" ht="24" x14ac:dyDescent="0.4">
      <c r="A1" s="78" t="s">
        <v>561</v>
      </c>
      <c r="B1" s="78"/>
      <c r="C1"/>
      <c r="D1"/>
      <c r="E1"/>
      <c r="G1" s="6" t="s">
        <v>9</v>
      </c>
      <c r="H1" s="6" t="s">
        <v>8</v>
      </c>
      <c r="I1" s="6" t="s">
        <v>7</v>
      </c>
      <c r="J1" s="6" t="s">
        <v>6</v>
      </c>
      <c r="K1" s="6" t="s">
        <v>5</v>
      </c>
      <c r="L1" s="6" t="s">
        <v>4</v>
      </c>
    </row>
    <row r="2" spans="1:12" s="13" customFormat="1" x14ac:dyDescent="0.25">
      <c r="A2"/>
      <c r="B2"/>
      <c r="C2"/>
      <c r="D2"/>
      <c r="E2"/>
      <c r="G2" s="40" t="s">
        <v>430</v>
      </c>
      <c r="H2" s="40" t="s">
        <v>431</v>
      </c>
      <c r="I2" s="35" t="s">
        <v>432</v>
      </c>
      <c r="J2" s="35" t="s">
        <v>432</v>
      </c>
      <c r="K2" s="47"/>
      <c r="L2" s="47"/>
    </row>
    <row r="3" spans="1:12" x14ac:dyDescent="0.25">
      <c r="A3" s="16" t="s">
        <v>438</v>
      </c>
      <c r="B3" s="16" t="s">
        <v>437</v>
      </c>
      <c r="C3"/>
      <c r="D3" s="39" t="s">
        <v>428</v>
      </c>
      <c r="E3" s="39" t="s">
        <v>429</v>
      </c>
      <c r="G3" s="17" t="s">
        <v>0</v>
      </c>
      <c r="H3" s="17" t="s">
        <v>0</v>
      </c>
      <c r="I3" s="3">
        <v>80</v>
      </c>
      <c r="J3" s="3">
        <v>20</v>
      </c>
      <c r="K3" s="8">
        <f t="shared" ref="K3:K11" si="0">I3+J3</f>
        <v>100</v>
      </c>
      <c r="L3" s="8" t="s">
        <v>1</v>
      </c>
    </row>
    <row r="4" spans="1:12" ht="30" x14ac:dyDescent="0.25">
      <c r="A4" s="7" t="s">
        <v>0</v>
      </c>
      <c r="B4" s="7" t="s">
        <v>0</v>
      </c>
      <c r="C4"/>
      <c r="D4" s="1">
        <f>VLOOKUP(A4, G1:I11, 3,FALSE)</f>
        <v>80</v>
      </c>
      <c r="E4" s="1">
        <f>VLOOKUP(B4, H1:J11, 3, FALSE)</f>
        <v>20</v>
      </c>
      <c r="G4" s="17" t="s">
        <v>542</v>
      </c>
      <c r="H4" s="17" t="s">
        <v>550</v>
      </c>
      <c r="I4" s="3">
        <v>70</v>
      </c>
      <c r="J4" s="3">
        <f>J3-2</f>
        <v>18</v>
      </c>
      <c r="K4" s="8">
        <f t="shared" si="0"/>
        <v>88</v>
      </c>
      <c r="L4" s="8" t="s">
        <v>1</v>
      </c>
    </row>
    <row r="5" spans="1:12" ht="30" x14ac:dyDescent="0.25">
      <c r="A5"/>
      <c r="B5"/>
      <c r="C5"/>
      <c r="D5"/>
      <c r="E5"/>
      <c r="G5" s="17" t="s">
        <v>543</v>
      </c>
      <c r="H5" s="17" t="s">
        <v>551</v>
      </c>
      <c r="I5" s="3">
        <v>60</v>
      </c>
      <c r="J5" s="3">
        <f t="shared" ref="J5:J10" si="1">J4-2</f>
        <v>16</v>
      </c>
      <c r="K5" s="8">
        <f t="shared" si="0"/>
        <v>76</v>
      </c>
      <c r="L5" s="8" t="s">
        <v>1</v>
      </c>
    </row>
    <row r="6" spans="1:12" ht="30" x14ac:dyDescent="0.25">
      <c r="A6"/>
      <c r="B6"/>
      <c r="C6"/>
      <c r="D6"/>
      <c r="E6"/>
      <c r="G6" s="17" t="s">
        <v>544</v>
      </c>
      <c r="H6" s="17" t="s">
        <v>552</v>
      </c>
      <c r="I6" s="3">
        <v>50</v>
      </c>
      <c r="J6" s="3">
        <f t="shared" si="1"/>
        <v>14</v>
      </c>
      <c r="K6" s="8">
        <f t="shared" si="0"/>
        <v>64</v>
      </c>
      <c r="L6" s="8" t="s">
        <v>2</v>
      </c>
    </row>
    <row r="7" spans="1:12" ht="30" x14ac:dyDescent="0.25">
      <c r="A7" s="44" t="s">
        <v>558</v>
      </c>
      <c r="B7" s="44">
        <f>IF(D4=0, 0, D4+E4)</f>
        <v>100</v>
      </c>
      <c r="C7"/>
      <c r="D7"/>
      <c r="E7"/>
      <c r="G7" s="17" t="s">
        <v>545</v>
      </c>
      <c r="H7" s="17" t="s">
        <v>553</v>
      </c>
      <c r="I7" s="3">
        <v>40</v>
      </c>
      <c r="J7" s="3">
        <f t="shared" si="1"/>
        <v>12</v>
      </c>
      <c r="K7" s="8">
        <f t="shared" si="0"/>
        <v>52</v>
      </c>
      <c r="L7" s="8" t="s">
        <v>2</v>
      </c>
    </row>
    <row r="8" spans="1:12" ht="30" x14ac:dyDescent="0.25">
      <c r="A8" s="44" t="s">
        <v>559</v>
      </c>
      <c r="B8" s="44" t="str">
        <f>IF(AND(B7&gt;=80, B7&lt;=100), "GOOD", IF(AND(B7&gt;40, B7&lt;80), "FAIR", "POOR"))</f>
        <v>GOOD</v>
      </c>
      <c r="C8"/>
      <c r="D8"/>
      <c r="E8"/>
      <c r="G8" s="17" t="s">
        <v>546</v>
      </c>
      <c r="H8" s="17" t="s">
        <v>554</v>
      </c>
      <c r="I8" s="3">
        <v>30</v>
      </c>
      <c r="J8" s="3">
        <f t="shared" si="1"/>
        <v>10</v>
      </c>
      <c r="K8" s="8">
        <f t="shared" si="0"/>
        <v>40</v>
      </c>
      <c r="L8" s="8" t="s">
        <v>2</v>
      </c>
    </row>
    <row r="9" spans="1:12" ht="30" x14ac:dyDescent="0.25">
      <c r="G9" s="17" t="s">
        <v>547</v>
      </c>
      <c r="H9" s="17" t="s">
        <v>555</v>
      </c>
      <c r="I9" s="3">
        <v>20</v>
      </c>
      <c r="J9" s="3">
        <f t="shared" si="1"/>
        <v>8</v>
      </c>
      <c r="K9" s="8">
        <f t="shared" si="0"/>
        <v>28</v>
      </c>
      <c r="L9" s="8" t="s">
        <v>3</v>
      </c>
    </row>
    <row r="10" spans="1:12" ht="30" x14ac:dyDescent="0.25">
      <c r="G10" s="17" t="s">
        <v>548</v>
      </c>
      <c r="H10" s="17" t="s">
        <v>556</v>
      </c>
      <c r="I10" s="3">
        <v>10</v>
      </c>
      <c r="J10" s="3">
        <f t="shared" si="1"/>
        <v>6</v>
      </c>
      <c r="K10" s="8">
        <f t="shared" si="0"/>
        <v>16</v>
      </c>
      <c r="L10" s="8" t="s">
        <v>3</v>
      </c>
    </row>
    <row r="11" spans="1:12" ht="30" x14ac:dyDescent="0.25">
      <c r="G11" s="17" t="s">
        <v>549</v>
      </c>
      <c r="H11" s="17" t="s">
        <v>557</v>
      </c>
      <c r="I11" s="3">
        <v>0</v>
      </c>
      <c r="J11" s="3">
        <v>0</v>
      </c>
      <c r="K11" s="8">
        <f t="shared" si="0"/>
        <v>0</v>
      </c>
      <c r="L11" s="8" t="s">
        <v>3</v>
      </c>
    </row>
  </sheetData>
  <autoFilter ref="G1:L1" xr:uid="{FE0B6C78-7203-4205-AC12-10962FE029D8}"/>
  <mergeCells count="1">
    <mergeCell ref="A1:B1"/>
  </mergeCells>
  <dataValidations count="3">
    <dataValidation type="list" allowBlank="1" showInputMessage="1" showErrorMessage="1" sqref="A5" xr:uid="{A2022CE9-571E-45AF-B2EA-CEA24741A02F}">
      <formula1>$K$4:$K$12</formula1>
    </dataValidation>
    <dataValidation type="list" allowBlank="1" showInputMessage="1" showErrorMessage="1" sqref="A4" xr:uid="{82FE2CF6-C669-4293-8E0A-6DFAFF26E07C}">
      <formula1>$G$2:$G$11</formula1>
    </dataValidation>
    <dataValidation type="list" allowBlank="1" showInputMessage="1" showErrorMessage="1" sqref="B4" xr:uid="{2C3AF89D-80E7-4E51-85BA-9A10541C148F}">
      <formula1>$H$2:$H$11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0F9B01-3BCD-4252-818C-F2FF57C3ACD8}">
  <sheetPr>
    <tabColor rgb="FF92D050"/>
  </sheetPr>
  <dimension ref="A1:L15"/>
  <sheetViews>
    <sheetView workbookViewId="0">
      <selection sqref="A1:E8"/>
    </sheetView>
  </sheetViews>
  <sheetFormatPr defaultRowHeight="15" x14ac:dyDescent="0.25"/>
  <cols>
    <col min="1" max="1" width="36" bestFit="1" customWidth="1"/>
    <col min="2" max="2" width="39.42578125" customWidth="1"/>
    <col min="4" max="5" width="3" bestFit="1" customWidth="1"/>
    <col min="7" max="7" width="48.28515625" bestFit="1" customWidth="1"/>
    <col min="8" max="8" width="48.5703125" bestFit="1" customWidth="1"/>
    <col min="9" max="10" width="57.7109375" bestFit="1" customWidth="1"/>
    <col min="11" max="11" width="14.5703125" bestFit="1" customWidth="1"/>
    <col min="12" max="12" width="14.85546875" bestFit="1" customWidth="1"/>
  </cols>
  <sheetData>
    <row r="1" spans="1:12" s="1" customFormat="1" ht="24" x14ac:dyDescent="0.4">
      <c r="A1" s="78" t="s">
        <v>562</v>
      </c>
      <c r="B1" s="78"/>
      <c r="C1"/>
      <c r="D1"/>
      <c r="E1"/>
      <c r="G1" s="6" t="s">
        <v>9</v>
      </c>
      <c r="H1" s="6" t="s">
        <v>8</v>
      </c>
      <c r="I1" s="6" t="s">
        <v>7</v>
      </c>
      <c r="J1" s="6" t="s">
        <v>6</v>
      </c>
      <c r="K1" s="6" t="s">
        <v>5</v>
      </c>
      <c r="L1" s="6" t="s">
        <v>4</v>
      </c>
    </row>
    <row r="2" spans="1:12" s="1" customFormat="1" x14ac:dyDescent="0.25">
      <c r="A2"/>
      <c r="B2"/>
      <c r="C2"/>
      <c r="D2"/>
      <c r="E2"/>
      <c r="G2" s="40" t="s">
        <v>430</v>
      </c>
      <c r="H2" s="40" t="s">
        <v>431</v>
      </c>
      <c r="I2" s="35" t="s">
        <v>432</v>
      </c>
      <c r="J2" s="35" t="s">
        <v>432</v>
      </c>
      <c r="K2" s="47"/>
      <c r="L2" s="47"/>
    </row>
    <row r="3" spans="1:12" x14ac:dyDescent="0.25">
      <c r="A3" s="16" t="s">
        <v>438</v>
      </c>
      <c r="B3" s="16" t="s">
        <v>437</v>
      </c>
      <c r="D3" s="39" t="s">
        <v>428</v>
      </c>
      <c r="E3" s="39" t="s">
        <v>429</v>
      </c>
      <c r="G3" s="10" t="s">
        <v>0</v>
      </c>
      <c r="H3" s="10" t="s">
        <v>0</v>
      </c>
      <c r="I3" s="3">
        <v>80</v>
      </c>
      <c r="J3" s="3">
        <v>20</v>
      </c>
      <c r="K3" s="3">
        <f t="shared" ref="K3:K12" si="0">I3+J3</f>
        <v>100</v>
      </c>
      <c r="L3" s="10" t="s">
        <v>1</v>
      </c>
    </row>
    <row r="4" spans="1:12" ht="30" x14ac:dyDescent="0.25">
      <c r="A4" s="42" t="s">
        <v>146</v>
      </c>
      <c r="B4" s="42" t="s">
        <v>139</v>
      </c>
      <c r="D4" s="1">
        <f>VLOOKUP(A4, G1:I13, 3,FALSE)</f>
        <v>0</v>
      </c>
      <c r="E4" s="1">
        <f>VLOOKUP(B4, H1:J13, 3, FALSE)</f>
        <v>6</v>
      </c>
      <c r="G4" s="2" t="s">
        <v>128</v>
      </c>
      <c r="H4" s="2" t="s">
        <v>127</v>
      </c>
      <c r="I4" s="3">
        <v>72</v>
      </c>
      <c r="J4" s="3">
        <v>18</v>
      </c>
      <c r="K4" s="3">
        <f t="shared" si="0"/>
        <v>90</v>
      </c>
      <c r="L4" s="10" t="s">
        <v>1</v>
      </c>
    </row>
    <row r="5" spans="1:12" x14ac:dyDescent="0.25">
      <c r="G5" s="2" t="s">
        <v>130</v>
      </c>
      <c r="H5" s="2" t="s">
        <v>129</v>
      </c>
      <c r="I5" s="8">
        <v>64</v>
      </c>
      <c r="J5" s="8">
        <v>16</v>
      </c>
      <c r="K5" s="8">
        <f t="shared" si="0"/>
        <v>80</v>
      </c>
      <c r="L5" s="10" t="s">
        <v>1</v>
      </c>
    </row>
    <row r="6" spans="1:12" x14ac:dyDescent="0.25">
      <c r="G6" s="2" t="s">
        <v>132</v>
      </c>
      <c r="H6" s="2" t="s">
        <v>131</v>
      </c>
      <c r="I6" s="3">
        <v>56</v>
      </c>
      <c r="J6" s="3">
        <v>14</v>
      </c>
      <c r="K6" s="3">
        <f t="shared" si="0"/>
        <v>70</v>
      </c>
      <c r="L6" s="2" t="s">
        <v>2</v>
      </c>
    </row>
    <row r="7" spans="1:12" x14ac:dyDescent="0.25">
      <c r="A7" s="44" t="s">
        <v>564</v>
      </c>
      <c r="B7" s="44">
        <f>IF(D4=0, 0, D4+E4)</f>
        <v>0</v>
      </c>
      <c r="G7" s="2" t="s">
        <v>134</v>
      </c>
      <c r="H7" s="2" t="s">
        <v>133</v>
      </c>
      <c r="I7" s="3">
        <v>48</v>
      </c>
      <c r="J7" s="3">
        <v>12</v>
      </c>
      <c r="K7" s="3">
        <f t="shared" si="0"/>
        <v>60</v>
      </c>
      <c r="L7" s="2" t="s">
        <v>2</v>
      </c>
    </row>
    <row r="8" spans="1:12" x14ac:dyDescent="0.25">
      <c r="A8" s="44" t="s">
        <v>565</v>
      </c>
      <c r="B8" s="44" t="str">
        <f>IF(AND(B7&gt;=80, B7&lt;=100), "GOOD", IF(AND(B7&gt;40, B7&lt;80), "FAIR", "POOR"))</f>
        <v>POOR</v>
      </c>
      <c r="G8" s="2" t="s">
        <v>136</v>
      </c>
      <c r="H8" s="2" t="s">
        <v>135</v>
      </c>
      <c r="I8" s="3">
        <v>40</v>
      </c>
      <c r="J8" s="3">
        <v>10</v>
      </c>
      <c r="K8" s="3">
        <f t="shared" si="0"/>
        <v>50</v>
      </c>
      <c r="L8" s="2" t="s">
        <v>2</v>
      </c>
    </row>
    <row r="9" spans="1:12" x14ac:dyDescent="0.25">
      <c r="G9" s="2" t="s">
        <v>138</v>
      </c>
      <c r="H9" s="2" t="s">
        <v>137</v>
      </c>
      <c r="I9" s="3">
        <v>32</v>
      </c>
      <c r="J9" s="3">
        <v>8</v>
      </c>
      <c r="K9" s="3">
        <f t="shared" si="0"/>
        <v>40</v>
      </c>
      <c r="L9" s="2" t="s">
        <v>3</v>
      </c>
    </row>
    <row r="10" spans="1:12" x14ac:dyDescent="0.25">
      <c r="G10" s="2" t="s">
        <v>140</v>
      </c>
      <c r="H10" s="2" t="s">
        <v>139</v>
      </c>
      <c r="I10" s="3">
        <v>24</v>
      </c>
      <c r="J10" s="3">
        <v>6</v>
      </c>
      <c r="K10" s="3">
        <f t="shared" si="0"/>
        <v>30</v>
      </c>
      <c r="L10" s="2" t="s">
        <v>3</v>
      </c>
    </row>
    <row r="11" spans="1:12" x14ac:dyDescent="0.25">
      <c r="G11" s="2" t="s">
        <v>142</v>
      </c>
      <c r="H11" s="2" t="s">
        <v>141</v>
      </c>
      <c r="I11" s="3">
        <v>16</v>
      </c>
      <c r="J11" s="3">
        <v>4</v>
      </c>
      <c r="K11" s="3">
        <f t="shared" si="0"/>
        <v>20</v>
      </c>
      <c r="L11" s="2" t="s">
        <v>3</v>
      </c>
    </row>
    <row r="12" spans="1:12" x14ac:dyDescent="0.25">
      <c r="G12" s="2" t="s">
        <v>144</v>
      </c>
      <c r="H12" s="2" t="s">
        <v>143</v>
      </c>
      <c r="I12" s="3">
        <v>8</v>
      </c>
      <c r="J12" s="3">
        <v>2</v>
      </c>
      <c r="K12" s="3">
        <f t="shared" si="0"/>
        <v>10</v>
      </c>
      <c r="L12" s="2" t="s">
        <v>3</v>
      </c>
    </row>
    <row r="13" spans="1:12" x14ac:dyDescent="0.25">
      <c r="G13" s="2" t="s">
        <v>146</v>
      </c>
      <c r="H13" s="2" t="s">
        <v>145</v>
      </c>
      <c r="I13" s="3">
        <f>K13*0.6</f>
        <v>0</v>
      </c>
      <c r="J13" s="3">
        <v>0</v>
      </c>
      <c r="K13" s="3">
        <v>0</v>
      </c>
      <c r="L13" s="2" t="s">
        <v>3</v>
      </c>
    </row>
    <row r="14" spans="1:12" x14ac:dyDescent="0.25">
      <c r="I14" s="1"/>
      <c r="J14" s="1"/>
      <c r="K14" s="1"/>
    </row>
    <row r="15" spans="1:12" x14ac:dyDescent="0.25">
      <c r="I15" s="1"/>
      <c r="J15" s="1"/>
      <c r="K15" s="1"/>
    </row>
  </sheetData>
  <autoFilter ref="G1:L1" xr:uid="{DE0F9B01-3BCD-4252-818C-F2FF57C3ACD8}">
    <sortState xmlns:xlrd2="http://schemas.microsoft.com/office/spreadsheetml/2017/richdata2" ref="G2:L12">
      <sortCondition descending="1" ref="K1"/>
    </sortState>
  </autoFilter>
  <mergeCells count="1">
    <mergeCell ref="A1:B1"/>
  </mergeCells>
  <dataValidations count="3">
    <dataValidation type="list" allowBlank="1" showInputMessage="1" showErrorMessage="1" sqref="B4" xr:uid="{3D461BA9-EB0E-40D0-B0CF-ECA1147C2FBB}">
      <formula1>$H$2:$H$13</formula1>
    </dataValidation>
    <dataValidation type="list" allowBlank="1" showInputMessage="1" showErrorMessage="1" sqref="A4" xr:uid="{C6E69058-24AB-4E52-8E74-5D756F951E9C}">
      <formula1>$G$2:$G$13</formula1>
    </dataValidation>
    <dataValidation type="list" allowBlank="1" showInputMessage="1" showErrorMessage="1" sqref="A5" xr:uid="{95BD0F90-9011-4682-B60D-794417EC78F6}">
      <formula1>$K$4:$K$12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3CF96-B22F-429C-92D2-029D09CFB6F5}">
  <sheetPr>
    <tabColor rgb="FF92D050"/>
  </sheetPr>
  <dimension ref="A1:AO29"/>
  <sheetViews>
    <sheetView workbookViewId="0">
      <selection activeCell="B15" sqref="B15"/>
    </sheetView>
  </sheetViews>
  <sheetFormatPr defaultRowHeight="15" x14ac:dyDescent="0.25"/>
  <cols>
    <col min="1" max="1" width="19.140625" customWidth="1"/>
    <col min="2" max="2" width="18.7109375" customWidth="1"/>
    <col min="3" max="3" width="19.85546875" customWidth="1"/>
    <col min="4" max="5" width="27.28515625" customWidth="1"/>
    <col min="12" max="12" width="48.42578125" bestFit="1" customWidth="1"/>
    <col min="13" max="13" width="47.42578125" bestFit="1" customWidth="1"/>
    <col min="14" max="14" width="68.7109375" bestFit="1" customWidth="1"/>
    <col min="15" max="15" width="88.85546875" bestFit="1" customWidth="1"/>
    <col min="16" max="16" width="20.42578125" bestFit="1" customWidth="1"/>
    <col min="17" max="17" width="19.140625" bestFit="1" customWidth="1"/>
    <col min="18" max="18" width="19.7109375" bestFit="1" customWidth="1"/>
    <col min="19" max="19" width="18.85546875" bestFit="1" customWidth="1"/>
    <col min="20" max="20" width="10" bestFit="1" customWidth="1"/>
    <col min="21" max="21" width="10.28515625" bestFit="1" customWidth="1"/>
    <col min="23" max="23" width="18.28515625" bestFit="1" customWidth="1"/>
    <col min="24" max="24" width="15" bestFit="1" customWidth="1"/>
    <col min="25" max="25" width="7.42578125" bestFit="1" customWidth="1"/>
    <col min="26" max="26" width="13.140625" bestFit="1" customWidth="1"/>
    <col min="27" max="27" width="9" bestFit="1" customWidth="1"/>
    <col min="28" max="28" width="6.42578125" bestFit="1" customWidth="1"/>
    <col min="29" max="29" width="4.42578125" bestFit="1" customWidth="1"/>
    <col min="30" max="30" width="5" bestFit="1" customWidth="1"/>
    <col min="31" max="31" width="6.85546875" bestFit="1" customWidth="1"/>
    <col min="33" max="33" width="18.28515625" bestFit="1" customWidth="1"/>
    <col min="34" max="34" width="15" bestFit="1" customWidth="1"/>
    <col min="35" max="35" width="6.5703125" bestFit="1" customWidth="1"/>
    <col min="36" max="36" width="7.140625" bestFit="1" customWidth="1"/>
    <col min="37" max="37" width="7.7109375" bestFit="1" customWidth="1"/>
    <col min="38" max="38" width="6.42578125" bestFit="1" customWidth="1"/>
    <col min="39" max="39" width="4.42578125" bestFit="1" customWidth="1"/>
    <col min="40" max="40" width="5" bestFit="1" customWidth="1"/>
    <col min="41" max="41" width="6.85546875" bestFit="1" customWidth="1"/>
  </cols>
  <sheetData>
    <row r="1" spans="1:41" s="12" customFormat="1" ht="24" x14ac:dyDescent="0.4">
      <c r="A1" s="80" t="s">
        <v>616</v>
      </c>
      <c r="B1" s="80"/>
      <c r="C1" s="80"/>
      <c r="D1" s="80"/>
      <c r="E1" s="50"/>
      <c r="F1"/>
      <c r="G1"/>
      <c r="H1"/>
      <c r="L1" s="87" t="s">
        <v>579</v>
      </c>
      <c r="M1" s="87" t="s">
        <v>581</v>
      </c>
      <c r="N1" s="87"/>
      <c r="O1" s="87" t="s">
        <v>580</v>
      </c>
      <c r="P1" s="87" t="s">
        <v>158</v>
      </c>
      <c r="Q1" s="88" t="s">
        <v>584</v>
      </c>
      <c r="R1" s="89"/>
      <c r="S1" s="87" t="s">
        <v>157</v>
      </c>
      <c r="T1" s="87" t="s">
        <v>156</v>
      </c>
      <c r="U1" s="87" t="s">
        <v>4</v>
      </c>
      <c r="W1" s="54" t="s">
        <v>605</v>
      </c>
      <c r="X1" s="54" t="s">
        <v>606</v>
      </c>
      <c r="Y1" s="54" t="s">
        <v>534</v>
      </c>
      <c r="Z1" s="54" t="s">
        <v>613</v>
      </c>
      <c r="AA1" s="56" t="s">
        <v>612</v>
      </c>
    </row>
    <row r="2" spans="1:41" s="7" customFormat="1" ht="21" x14ac:dyDescent="0.25">
      <c r="A2"/>
      <c r="B2"/>
      <c r="C2"/>
      <c r="D2"/>
      <c r="E2"/>
      <c r="F2"/>
      <c r="G2"/>
      <c r="H2"/>
      <c r="L2" s="87"/>
      <c r="M2" s="16" t="s">
        <v>577</v>
      </c>
      <c r="N2" s="16" t="s">
        <v>578</v>
      </c>
      <c r="O2" s="87"/>
      <c r="P2" s="87"/>
      <c r="Q2" s="16" t="s">
        <v>582</v>
      </c>
      <c r="R2" s="16" t="s">
        <v>583</v>
      </c>
      <c r="S2" s="87"/>
      <c r="T2" s="87"/>
      <c r="U2" s="87"/>
      <c r="W2" s="55">
        <v>0.2</v>
      </c>
      <c r="X2" s="55">
        <v>-40</v>
      </c>
      <c r="Y2" s="57" t="s">
        <v>535</v>
      </c>
      <c r="Z2" s="2" t="str">
        <f>CONCATENATE(W2,X2,Y2)</f>
        <v>0.2-40White</v>
      </c>
      <c r="AA2" s="55">
        <v>360</v>
      </c>
      <c r="AG2" s="54" t="s">
        <v>605</v>
      </c>
      <c r="AH2" s="54" t="s">
        <v>606</v>
      </c>
      <c r="AI2" s="54" t="s">
        <v>535</v>
      </c>
      <c r="AJ2" s="54" t="s">
        <v>536</v>
      </c>
      <c r="AK2" s="54" t="s">
        <v>607</v>
      </c>
      <c r="AL2" s="54" t="s">
        <v>608</v>
      </c>
      <c r="AM2" s="54" t="s">
        <v>609</v>
      </c>
      <c r="AN2" s="54" t="s">
        <v>610</v>
      </c>
      <c r="AO2" s="54" t="s">
        <v>611</v>
      </c>
    </row>
    <row r="3" spans="1:41" ht="21" x14ac:dyDescent="0.25">
      <c r="A3" s="81" t="s">
        <v>521</v>
      </c>
      <c r="B3" s="81"/>
      <c r="C3" s="81"/>
      <c r="D3" s="81"/>
      <c r="E3" s="49"/>
      <c r="G3" s="39"/>
      <c r="H3" s="39"/>
      <c r="L3" s="40" t="s">
        <v>614</v>
      </c>
      <c r="M3" s="2" t="s">
        <v>413</v>
      </c>
      <c r="N3" s="2" t="s">
        <v>414</v>
      </c>
      <c r="O3" s="2" t="s">
        <v>615</v>
      </c>
      <c r="P3" s="2"/>
      <c r="Q3" s="2"/>
      <c r="R3" s="2"/>
      <c r="S3" s="2"/>
      <c r="T3" s="2"/>
      <c r="U3" s="2"/>
      <c r="W3" s="55">
        <v>0.2</v>
      </c>
      <c r="X3" s="55">
        <v>-40</v>
      </c>
      <c r="Y3" s="57" t="s">
        <v>536</v>
      </c>
      <c r="Z3" s="2" t="str">
        <f t="shared" ref="Z3:Z29" si="0">CONCATENATE(W3,X3,Y3)</f>
        <v>0.2-40Yellow</v>
      </c>
      <c r="AA3" s="55">
        <v>270</v>
      </c>
      <c r="AG3" s="55">
        <v>0.2</v>
      </c>
      <c r="AH3" s="55">
        <v>-40</v>
      </c>
      <c r="AI3" s="55">
        <v>360</v>
      </c>
      <c r="AJ3" s="55">
        <v>270</v>
      </c>
      <c r="AK3" s="55">
        <v>145</v>
      </c>
      <c r="AL3" s="55">
        <v>50</v>
      </c>
      <c r="AM3" s="55">
        <v>65</v>
      </c>
      <c r="AN3" s="55">
        <v>30</v>
      </c>
      <c r="AO3" s="55">
        <v>18</v>
      </c>
    </row>
    <row r="4" spans="1:41" ht="21" x14ac:dyDescent="0.25">
      <c r="G4" s="1"/>
      <c r="H4" s="1"/>
      <c r="L4" s="10" t="s">
        <v>0</v>
      </c>
      <c r="M4" s="34" t="s">
        <v>0</v>
      </c>
      <c r="N4" s="34" t="s">
        <v>0</v>
      </c>
      <c r="O4" s="10" t="s">
        <v>0</v>
      </c>
      <c r="P4" s="3">
        <v>100</v>
      </c>
      <c r="Q4" s="3">
        <v>50</v>
      </c>
      <c r="R4" s="3">
        <v>50</v>
      </c>
      <c r="S4" s="3">
        <v>100</v>
      </c>
      <c r="T4" s="3">
        <v>100</v>
      </c>
      <c r="U4" s="10" t="s">
        <v>1</v>
      </c>
      <c r="W4" s="55">
        <v>0.2</v>
      </c>
      <c r="X4" s="55">
        <v>-40</v>
      </c>
      <c r="Y4" s="57" t="s">
        <v>607</v>
      </c>
      <c r="Z4" s="2" t="str">
        <f t="shared" si="0"/>
        <v>0.2-40Orange</v>
      </c>
      <c r="AA4" s="55">
        <v>145</v>
      </c>
      <c r="AG4" s="55">
        <v>0.2</v>
      </c>
      <c r="AH4" s="55">
        <v>300</v>
      </c>
      <c r="AI4" s="55">
        <v>170</v>
      </c>
      <c r="AJ4" s="55">
        <v>135</v>
      </c>
      <c r="AK4" s="55">
        <v>68</v>
      </c>
      <c r="AL4" s="55">
        <v>25</v>
      </c>
      <c r="AM4" s="55">
        <v>30</v>
      </c>
      <c r="AN4" s="55">
        <v>14</v>
      </c>
      <c r="AO4" s="55">
        <v>8.5</v>
      </c>
    </row>
    <row r="5" spans="1:41" ht="30" customHeight="1" x14ac:dyDescent="0.25">
      <c r="A5" s="85" t="s">
        <v>620</v>
      </c>
      <c r="B5" s="85" t="s">
        <v>615</v>
      </c>
      <c r="C5" s="84" t="s">
        <v>621</v>
      </c>
      <c r="D5" s="84"/>
      <c r="E5" s="59"/>
      <c r="G5" t="s">
        <v>623</v>
      </c>
      <c r="L5" s="2" t="s">
        <v>148</v>
      </c>
      <c r="M5" s="34" t="s">
        <v>585</v>
      </c>
      <c r="N5" s="34" t="s">
        <v>595</v>
      </c>
      <c r="O5" s="2" t="s">
        <v>147</v>
      </c>
      <c r="P5" s="3">
        <v>90</v>
      </c>
      <c r="Q5" s="3">
        <v>45</v>
      </c>
      <c r="R5" s="3">
        <v>45</v>
      </c>
      <c r="S5" s="3">
        <v>90</v>
      </c>
      <c r="T5" s="3">
        <v>90</v>
      </c>
      <c r="U5" s="10" t="s">
        <v>1</v>
      </c>
      <c r="W5" s="55">
        <v>0.2</v>
      </c>
      <c r="X5" s="55">
        <v>-40</v>
      </c>
      <c r="Y5" s="57" t="s">
        <v>608</v>
      </c>
      <c r="Z5" s="2" t="str">
        <f t="shared" si="0"/>
        <v>0.2-40Green</v>
      </c>
      <c r="AA5" s="55">
        <v>50</v>
      </c>
      <c r="AG5" s="55">
        <v>0.5</v>
      </c>
      <c r="AH5" s="55">
        <v>-40</v>
      </c>
      <c r="AI5" s="55">
        <v>150</v>
      </c>
      <c r="AJ5" s="55">
        <v>110</v>
      </c>
      <c r="AK5" s="55">
        <v>60</v>
      </c>
      <c r="AL5" s="55">
        <v>21</v>
      </c>
      <c r="AM5" s="55">
        <v>27</v>
      </c>
      <c r="AN5" s="55">
        <v>13</v>
      </c>
      <c r="AO5" s="55">
        <v>7.5</v>
      </c>
    </row>
    <row r="6" spans="1:41" ht="30" x14ac:dyDescent="0.25">
      <c r="A6" s="86"/>
      <c r="B6" s="86"/>
      <c r="C6" s="32" t="s">
        <v>524</v>
      </c>
      <c r="D6" s="32" t="s">
        <v>525</v>
      </c>
      <c r="G6" t="s">
        <v>624</v>
      </c>
      <c r="L6" s="2" t="s">
        <v>150</v>
      </c>
      <c r="M6" s="34" t="s">
        <v>586</v>
      </c>
      <c r="N6" s="34" t="s">
        <v>596</v>
      </c>
      <c r="O6" s="2" t="s">
        <v>149</v>
      </c>
      <c r="P6" s="3">
        <v>80</v>
      </c>
      <c r="Q6" s="3">
        <v>40</v>
      </c>
      <c r="R6" s="3">
        <v>40</v>
      </c>
      <c r="S6" s="3">
        <v>80</v>
      </c>
      <c r="T6" s="8">
        <v>80</v>
      </c>
      <c r="U6" s="10" t="s">
        <v>1</v>
      </c>
      <c r="W6" s="55">
        <v>0.2</v>
      </c>
      <c r="X6" s="55">
        <v>-40</v>
      </c>
      <c r="Y6" s="57" t="s">
        <v>609</v>
      </c>
      <c r="Z6" s="2" t="str">
        <f t="shared" si="0"/>
        <v>0.2-40Red</v>
      </c>
      <c r="AA6" s="55">
        <v>65</v>
      </c>
      <c r="AG6" s="55">
        <v>0.5</v>
      </c>
      <c r="AH6" s="55">
        <v>300</v>
      </c>
      <c r="AI6" s="55">
        <v>72</v>
      </c>
      <c r="AJ6" s="55">
        <v>54</v>
      </c>
      <c r="AK6" s="55">
        <v>28</v>
      </c>
      <c r="AL6" s="55">
        <v>10</v>
      </c>
      <c r="AM6" s="55">
        <v>13</v>
      </c>
      <c r="AN6" s="55">
        <v>6</v>
      </c>
      <c r="AO6" s="55">
        <v>3.5</v>
      </c>
    </row>
    <row r="7" spans="1:41" ht="21" x14ac:dyDescent="0.25">
      <c r="A7" s="58" t="s">
        <v>0</v>
      </c>
      <c r="B7" s="58" t="s">
        <v>0</v>
      </c>
      <c r="C7" s="58" t="s">
        <v>631</v>
      </c>
      <c r="D7" s="58" t="s">
        <v>0</v>
      </c>
      <c r="G7" s="63" t="s">
        <v>428</v>
      </c>
      <c r="H7" s="63" t="s">
        <v>630</v>
      </c>
      <c r="L7" s="2" t="s">
        <v>566</v>
      </c>
      <c r="M7" s="34" t="s">
        <v>587</v>
      </c>
      <c r="N7" s="34" t="s">
        <v>597</v>
      </c>
      <c r="O7" s="2" t="s">
        <v>151</v>
      </c>
      <c r="P7" s="3">
        <v>70</v>
      </c>
      <c r="Q7" s="3">
        <v>35</v>
      </c>
      <c r="R7" s="3">
        <v>35</v>
      </c>
      <c r="S7" s="3">
        <v>70</v>
      </c>
      <c r="T7" s="3">
        <v>70</v>
      </c>
      <c r="U7" s="2" t="s">
        <v>2</v>
      </c>
      <c r="W7" s="55">
        <v>0.2</v>
      </c>
      <c r="X7" s="55">
        <v>-40</v>
      </c>
      <c r="Y7" s="57" t="s">
        <v>610</v>
      </c>
      <c r="Z7" s="2" t="str">
        <f t="shared" si="0"/>
        <v>0.2-40Blue</v>
      </c>
      <c r="AA7" s="55">
        <v>30</v>
      </c>
    </row>
    <row r="8" spans="1:41" ht="21" x14ac:dyDescent="0.25">
      <c r="G8" s="7">
        <f>VLOOKUP(A7, L3:P14,5, FALSE)</f>
        <v>100</v>
      </c>
      <c r="H8" s="7">
        <f>VLOOKUP(B7, O3:S14, 5, FALSE)</f>
        <v>100</v>
      </c>
      <c r="L8" s="2" t="s">
        <v>567</v>
      </c>
      <c r="M8" s="34" t="s">
        <v>588</v>
      </c>
      <c r="N8" s="34" t="s">
        <v>598</v>
      </c>
      <c r="O8" s="2" t="s">
        <v>152</v>
      </c>
      <c r="P8" s="3">
        <v>60</v>
      </c>
      <c r="Q8" s="3">
        <v>30</v>
      </c>
      <c r="R8" s="3">
        <v>30</v>
      </c>
      <c r="S8" s="3">
        <v>60</v>
      </c>
      <c r="T8" s="3">
        <v>60</v>
      </c>
      <c r="U8" s="2" t="s">
        <v>2</v>
      </c>
      <c r="W8" s="55">
        <v>0.2</v>
      </c>
      <c r="X8" s="55">
        <v>-40</v>
      </c>
      <c r="Y8" s="57" t="s">
        <v>611</v>
      </c>
      <c r="Z8" s="2" t="str">
        <f t="shared" si="0"/>
        <v>0.2-40Brown</v>
      </c>
      <c r="AA8" s="55">
        <v>18</v>
      </c>
    </row>
    <row r="9" spans="1:41" ht="21" x14ac:dyDescent="0.25">
      <c r="L9" s="2" t="s">
        <v>568</v>
      </c>
      <c r="M9" s="34" t="s">
        <v>589</v>
      </c>
      <c r="N9" s="34" t="s">
        <v>599</v>
      </c>
      <c r="O9" s="2" t="s">
        <v>153</v>
      </c>
      <c r="P9" s="3">
        <v>50</v>
      </c>
      <c r="Q9" s="3">
        <v>25</v>
      </c>
      <c r="R9" s="3">
        <v>25</v>
      </c>
      <c r="S9" s="3">
        <v>50</v>
      </c>
      <c r="T9" s="3">
        <v>50</v>
      </c>
      <c r="U9" s="2" t="s">
        <v>2</v>
      </c>
      <c r="W9" s="55">
        <v>0.2</v>
      </c>
      <c r="X9" s="55">
        <v>300</v>
      </c>
      <c r="Y9" s="57" t="s">
        <v>535</v>
      </c>
      <c r="Z9" s="2" t="str">
        <f t="shared" si="0"/>
        <v>0.2300White</v>
      </c>
      <c r="AA9" s="55">
        <v>170</v>
      </c>
    </row>
    <row r="10" spans="1:41" ht="21" x14ac:dyDescent="0.3">
      <c r="A10" s="62" t="s">
        <v>622</v>
      </c>
      <c r="L10" s="2" t="s">
        <v>569</v>
      </c>
      <c r="M10" s="34" t="s">
        <v>590</v>
      </c>
      <c r="N10" s="34" t="s">
        <v>600</v>
      </c>
      <c r="O10" s="2" t="s">
        <v>573</v>
      </c>
      <c r="P10" s="3">
        <v>40</v>
      </c>
      <c r="Q10" s="3">
        <v>20</v>
      </c>
      <c r="R10" s="3">
        <v>20</v>
      </c>
      <c r="S10" s="3">
        <v>40</v>
      </c>
      <c r="T10" s="3">
        <v>40</v>
      </c>
      <c r="U10" s="2" t="s">
        <v>3</v>
      </c>
      <c r="W10" s="55">
        <v>0.2</v>
      </c>
      <c r="X10" s="55">
        <v>300</v>
      </c>
      <c r="Y10" s="57" t="s">
        <v>536</v>
      </c>
      <c r="Z10" s="2" t="str">
        <f t="shared" si="0"/>
        <v>0.2300Yellow</v>
      </c>
      <c r="AA10" s="55">
        <v>135</v>
      </c>
    </row>
    <row r="11" spans="1:41" ht="30" x14ac:dyDescent="0.25">
      <c r="A11" s="32" t="s">
        <v>617</v>
      </c>
      <c r="B11" s="32" t="s">
        <v>618</v>
      </c>
      <c r="C11" s="32" t="s">
        <v>619</v>
      </c>
      <c r="D11" s="32" t="s">
        <v>522</v>
      </c>
      <c r="E11" s="59"/>
      <c r="F11" s="52" t="s">
        <v>538</v>
      </c>
      <c r="G11" s="39" t="s">
        <v>415</v>
      </c>
      <c r="H11" s="39" t="s">
        <v>416</v>
      </c>
      <c r="L11" s="2" t="s">
        <v>570</v>
      </c>
      <c r="M11" s="34" t="s">
        <v>591</v>
      </c>
      <c r="N11" s="34" t="s">
        <v>601</v>
      </c>
      <c r="O11" s="2" t="s">
        <v>574</v>
      </c>
      <c r="P11" s="3">
        <v>30</v>
      </c>
      <c r="Q11" s="3">
        <v>15</v>
      </c>
      <c r="R11" s="3">
        <v>15</v>
      </c>
      <c r="S11" s="3">
        <v>30</v>
      </c>
      <c r="T11" s="3">
        <v>30</v>
      </c>
      <c r="U11" s="2" t="s">
        <v>3</v>
      </c>
      <c r="W11" s="55">
        <v>0.2</v>
      </c>
      <c r="X11" s="55">
        <v>300</v>
      </c>
      <c r="Y11" s="57" t="s">
        <v>607</v>
      </c>
      <c r="Z11" s="2" t="str">
        <f t="shared" si="0"/>
        <v>0.2300Orange</v>
      </c>
      <c r="AA11" s="55">
        <v>68</v>
      </c>
    </row>
    <row r="12" spans="1:41" ht="21" x14ac:dyDescent="0.25">
      <c r="A12" s="58">
        <v>0.2</v>
      </c>
      <c r="B12" s="8">
        <v>-40</v>
      </c>
      <c r="C12" s="8" t="s">
        <v>535</v>
      </c>
      <c r="D12" s="58">
        <v>300</v>
      </c>
      <c r="E12" s="42"/>
      <c r="F12" t="str">
        <f>CONCATENATE(A12,B12,C12)</f>
        <v>0.2-40White</v>
      </c>
      <c r="G12" s="7">
        <f>ROUND(50*(D12/VLOOKUP(F12, Z2:AA29, 2, FALSE)),0)</f>
        <v>42</v>
      </c>
      <c r="H12" s="7">
        <f>VLOOKUP(D7, N3:R14, 5, FALSE)</f>
        <v>50</v>
      </c>
      <c r="L12" s="2" t="s">
        <v>571</v>
      </c>
      <c r="M12" s="34" t="s">
        <v>592</v>
      </c>
      <c r="N12" s="34" t="s">
        <v>602</v>
      </c>
      <c r="O12" s="2" t="s">
        <v>575</v>
      </c>
      <c r="P12" s="3">
        <v>20</v>
      </c>
      <c r="Q12" s="3">
        <v>10</v>
      </c>
      <c r="R12" s="3">
        <v>10</v>
      </c>
      <c r="S12" s="3">
        <v>20</v>
      </c>
      <c r="T12" s="3">
        <v>20</v>
      </c>
      <c r="U12" s="2" t="s">
        <v>3</v>
      </c>
      <c r="W12" s="55">
        <v>0.2</v>
      </c>
      <c r="X12" s="55">
        <v>300</v>
      </c>
      <c r="Y12" s="57" t="s">
        <v>608</v>
      </c>
      <c r="Z12" s="2" t="str">
        <f t="shared" si="0"/>
        <v>0.2300Green</v>
      </c>
      <c r="AA12" s="55">
        <v>25</v>
      </c>
    </row>
    <row r="13" spans="1:41" ht="21" x14ac:dyDescent="0.25">
      <c r="L13" s="2" t="s">
        <v>572</v>
      </c>
      <c r="M13" s="34" t="s">
        <v>593</v>
      </c>
      <c r="N13" s="34" t="s">
        <v>603</v>
      </c>
      <c r="O13" s="2" t="s">
        <v>576</v>
      </c>
      <c r="P13" s="3">
        <v>10</v>
      </c>
      <c r="Q13" s="3">
        <v>5</v>
      </c>
      <c r="R13" s="3">
        <v>5</v>
      </c>
      <c r="S13" s="3">
        <v>10</v>
      </c>
      <c r="T13" s="3">
        <v>10</v>
      </c>
      <c r="U13" s="2" t="s">
        <v>3</v>
      </c>
      <c r="W13" s="55">
        <v>0.2</v>
      </c>
      <c r="X13" s="55">
        <v>300</v>
      </c>
      <c r="Y13" s="57" t="s">
        <v>609</v>
      </c>
      <c r="Z13" s="2" t="str">
        <f t="shared" si="0"/>
        <v>0.2300Red</v>
      </c>
      <c r="AA13" s="55">
        <v>30</v>
      </c>
    </row>
    <row r="14" spans="1:41" ht="21" x14ac:dyDescent="0.25">
      <c r="L14" s="2" t="s">
        <v>155</v>
      </c>
      <c r="M14" s="34" t="s">
        <v>594</v>
      </c>
      <c r="N14" s="34" t="s">
        <v>604</v>
      </c>
      <c r="O14" s="2" t="s">
        <v>154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2" t="s">
        <v>3</v>
      </c>
      <c r="W14" s="55">
        <v>0.2</v>
      </c>
      <c r="X14" s="55">
        <v>300</v>
      </c>
      <c r="Y14" s="57" t="s">
        <v>610</v>
      </c>
      <c r="Z14" s="2" t="str">
        <f t="shared" si="0"/>
        <v>0.2300Blue</v>
      </c>
      <c r="AA14" s="55">
        <v>14</v>
      </c>
    </row>
    <row r="15" spans="1:41" ht="21" x14ac:dyDescent="0.25">
      <c r="A15" s="36" t="s">
        <v>632</v>
      </c>
      <c r="B15" s="37">
        <f>IF(OR(G8=0, H8=0, G12=0, H12=0), 0, ROUND(0.4*G8 + 0.3*H8 + 0.3*(G12 + H12), 0))</f>
        <v>98</v>
      </c>
      <c r="W15" s="55">
        <v>0.2</v>
      </c>
      <c r="X15" s="55">
        <v>300</v>
      </c>
      <c r="Y15" s="57" t="s">
        <v>611</v>
      </c>
      <c r="Z15" s="2" t="str">
        <f t="shared" si="0"/>
        <v>0.2300Brown</v>
      </c>
      <c r="AA15" s="55">
        <v>8.5</v>
      </c>
    </row>
    <row r="16" spans="1:41" ht="21" x14ac:dyDescent="0.25">
      <c r="A16" s="36" t="s">
        <v>633</v>
      </c>
      <c r="B16" s="37" t="str">
        <f>IF(AND(B15&gt;=80, B15&lt;=100), "GOOD", IF(AND(B15&gt;40, B15&lt;80), "FAIR", "POOR"))</f>
        <v>GOOD</v>
      </c>
      <c r="W16" s="55">
        <v>0.5</v>
      </c>
      <c r="X16" s="55">
        <v>-40</v>
      </c>
      <c r="Y16" s="57" t="s">
        <v>535</v>
      </c>
      <c r="Z16" s="2" t="str">
        <f t="shared" si="0"/>
        <v>0.5-40White</v>
      </c>
      <c r="AA16" s="55">
        <v>150</v>
      </c>
    </row>
    <row r="17" spans="1:27" ht="21" x14ac:dyDescent="0.25">
      <c r="W17" s="55">
        <v>0.5</v>
      </c>
      <c r="X17" s="55">
        <v>-40</v>
      </c>
      <c r="Y17" s="57" t="s">
        <v>536</v>
      </c>
      <c r="Z17" s="2" t="str">
        <f t="shared" si="0"/>
        <v>0.5-40Yellow</v>
      </c>
      <c r="AA17" s="55">
        <v>110</v>
      </c>
    </row>
    <row r="18" spans="1:27" ht="21" x14ac:dyDescent="0.25">
      <c r="L18">
        <f>0.4*G8+0.3*H8+0.3*(G12+H12)</f>
        <v>97.6</v>
      </c>
      <c r="W18" s="55">
        <v>0.5</v>
      </c>
      <c r="X18" s="55">
        <v>-40</v>
      </c>
      <c r="Y18" s="57" t="s">
        <v>607</v>
      </c>
      <c r="Z18" s="2" t="str">
        <f t="shared" si="0"/>
        <v>0.5-40Orange</v>
      </c>
      <c r="AA18" s="55">
        <v>60</v>
      </c>
    </row>
    <row r="19" spans="1:27" ht="21" customHeight="1" x14ac:dyDescent="0.25">
      <c r="W19" s="55">
        <v>0.5</v>
      </c>
      <c r="X19" s="55">
        <v>-40</v>
      </c>
      <c r="Y19" s="57" t="s">
        <v>608</v>
      </c>
      <c r="Z19" s="2" t="str">
        <f t="shared" si="0"/>
        <v>0.5-40Green</v>
      </c>
      <c r="AA19" s="55">
        <v>21</v>
      </c>
    </row>
    <row r="20" spans="1:27" ht="21" x14ac:dyDescent="0.25">
      <c r="A20" s="49" t="s">
        <v>528</v>
      </c>
      <c r="B20" s="49"/>
      <c r="C20" s="49"/>
      <c r="D20" s="49"/>
      <c r="E20" s="49"/>
      <c r="W20" s="55">
        <v>0.5</v>
      </c>
      <c r="X20" s="55">
        <v>-40</v>
      </c>
      <c r="Y20" s="57" t="s">
        <v>609</v>
      </c>
      <c r="Z20" s="2" t="str">
        <f t="shared" si="0"/>
        <v>0.5-40Red</v>
      </c>
      <c r="AA20" s="55">
        <v>27</v>
      </c>
    </row>
    <row r="21" spans="1:27" ht="21" x14ac:dyDescent="0.25">
      <c r="G21" s="63" t="s">
        <v>428</v>
      </c>
      <c r="H21" s="63" t="s">
        <v>630</v>
      </c>
      <c r="W21" s="55">
        <v>0.5</v>
      </c>
      <c r="X21" s="55">
        <v>-40</v>
      </c>
      <c r="Y21" s="57" t="s">
        <v>610</v>
      </c>
      <c r="Z21" s="2" t="str">
        <f t="shared" si="0"/>
        <v>0.5-40Blue</v>
      </c>
      <c r="AA21" s="55">
        <v>13</v>
      </c>
    </row>
    <row r="22" spans="1:27" ht="30" x14ac:dyDescent="0.25">
      <c r="A22" s="60" t="s">
        <v>620</v>
      </c>
      <c r="B22" s="60" t="s">
        <v>615</v>
      </c>
      <c r="C22" s="82" t="s">
        <v>621</v>
      </c>
      <c r="D22" s="83"/>
      <c r="G22" s="7">
        <f>VLOOKUP(A24, L3:P14,5, FALSE)</f>
        <v>100</v>
      </c>
      <c r="H22" s="7">
        <f>VLOOKUP(B24, O3:S14, 5, FALSE)</f>
        <v>100</v>
      </c>
      <c r="W22" s="55">
        <v>0.5</v>
      </c>
      <c r="X22" s="55">
        <v>-40</v>
      </c>
      <c r="Y22" s="57" t="s">
        <v>611</v>
      </c>
      <c r="Z22" s="2" t="str">
        <f t="shared" si="0"/>
        <v>0.5-40Brown</v>
      </c>
      <c r="AA22" s="55">
        <v>7.5</v>
      </c>
    </row>
    <row r="23" spans="1:27" ht="30" x14ac:dyDescent="0.25">
      <c r="A23" s="61"/>
      <c r="B23" s="61"/>
      <c r="C23" s="32" t="s">
        <v>524</v>
      </c>
      <c r="D23" s="32" t="s">
        <v>525</v>
      </c>
      <c r="G23" s="39" t="s">
        <v>415</v>
      </c>
      <c r="H23" s="39" t="s">
        <v>416</v>
      </c>
      <c r="W23" s="55">
        <v>0.5</v>
      </c>
      <c r="X23" s="55">
        <v>300</v>
      </c>
      <c r="Y23" s="57" t="s">
        <v>535</v>
      </c>
      <c r="Z23" s="2" t="str">
        <f t="shared" si="0"/>
        <v>0.5300White</v>
      </c>
      <c r="AA23" s="55">
        <v>72</v>
      </c>
    </row>
    <row r="24" spans="1:27" ht="21" x14ac:dyDescent="0.25">
      <c r="A24" s="58" t="s">
        <v>0</v>
      </c>
      <c r="B24" s="58" t="s">
        <v>0</v>
      </c>
      <c r="C24" s="58" t="s">
        <v>0</v>
      </c>
      <c r="D24" s="58" t="s">
        <v>0</v>
      </c>
      <c r="G24" s="7">
        <f>VLOOKUP(C24, M3:Q14, 5, FALSE)</f>
        <v>50</v>
      </c>
      <c r="H24" s="7">
        <f>VLOOKUP(D24, N3:R14, 5, FALSE)</f>
        <v>50</v>
      </c>
      <c r="W24" s="55">
        <v>0.5</v>
      </c>
      <c r="X24" s="55">
        <v>300</v>
      </c>
      <c r="Y24" s="57" t="s">
        <v>536</v>
      </c>
      <c r="Z24" s="2" t="str">
        <f t="shared" si="0"/>
        <v>0.5300Yellow</v>
      </c>
      <c r="AA24" s="55">
        <v>54</v>
      </c>
    </row>
    <row r="25" spans="1:27" ht="21" x14ac:dyDescent="0.25">
      <c r="W25" s="55">
        <v>0.5</v>
      </c>
      <c r="X25" s="55">
        <v>300</v>
      </c>
      <c r="Y25" s="57" t="s">
        <v>607</v>
      </c>
      <c r="Z25" s="2" t="str">
        <f t="shared" si="0"/>
        <v>0.5300Orange</v>
      </c>
      <c r="AA25" s="55">
        <v>28</v>
      </c>
    </row>
    <row r="26" spans="1:27" ht="21" x14ac:dyDescent="0.25">
      <c r="A26" s="36" t="s">
        <v>632</v>
      </c>
      <c r="B26" s="37">
        <f>IF(OR(G22=0, H22=0, G24=0, H24=0), 0, ROUND(0.4*G22+0.3*H22+0.3*(G24+H24), 0))</f>
        <v>100</v>
      </c>
      <c r="W26" s="55">
        <v>0.5</v>
      </c>
      <c r="X26" s="55">
        <v>300</v>
      </c>
      <c r="Y26" s="57" t="s">
        <v>608</v>
      </c>
      <c r="Z26" s="2" t="str">
        <f t="shared" si="0"/>
        <v>0.5300Green</v>
      </c>
      <c r="AA26" s="55">
        <v>10</v>
      </c>
    </row>
    <row r="27" spans="1:27" ht="21" x14ac:dyDescent="0.25">
      <c r="A27" s="36" t="s">
        <v>633</v>
      </c>
      <c r="B27" s="37" t="str">
        <f>IF(AND(B26&gt;=80, B26&lt;=100), "GOOD", IF(AND(B26&gt;40, B26&lt;80), "FAIR", "POOR"))</f>
        <v>GOOD</v>
      </c>
      <c r="W27" s="55">
        <v>0.5</v>
      </c>
      <c r="X27" s="55">
        <v>300</v>
      </c>
      <c r="Y27" s="57" t="s">
        <v>609</v>
      </c>
      <c r="Z27" s="2" t="str">
        <f t="shared" si="0"/>
        <v>0.5300Red</v>
      </c>
      <c r="AA27" s="55">
        <v>13</v>
      </c>
    </row>
    <row r="28" spans="1:27" ht="21" x14ac:dyDescent="0.25">
      <c r="W28" s="55">
        <v>0.5</v>
      </c>
      <c r="X28" s="55">
        <v>300</v>
      </c>
      <c r="Y28" s="57" t="s">
        <v>610</v>
      </c>
      <c r="Z28" s="2" t="str">
        <f t="shared" si="0"/>
        <v>0.5300Blue</v>
      </c>
      <c r="AA28" s="55">
        <v>6</v>
      </c>
    </row>
    <row r="29" spans="1:27" ht="21" x14ac:dyDescent="0.25">
      <c r="W29" s="55">
        <v>0.5</v>
      </c>
      <c r="X29" s="55">
        <v>300</v>
      </c>
      <c r="Y29" s="57" t="s">
        <v>611</v>
      </c>
      <c r="Z29" s="2" t="str">
        <f t="shared" si="0"/>
        <v>0.5300Brown</v>
      </c>
      <c r="AA29" s="55">
        <v>3.5</v>
      </c>
    </row>
  </sheetData>
  <autoFilter ref="L2:U2" xr:uid="{8D23CF96-B22F-429C-92D2-029D09CFB6F5}">
    <sortState xmlns:xlrd2="http://schemas.microsoft.com/office/spreadsheetml/2017/richdata2" ref="L4:U13">
      <sortCondition descending="1" ref="T2"/>
    </sortState>
  </autoFilter>
  <mergeCells count="14">
    <mergeCell ref="U1:U2"/>
    <mergeCell ref="M1:N1"/>
    <mergeCell ref="Q1:R1"/>
    <mergeCell ref="L1:L2"/>
    <mergeCell ref="O1:O2"/>
    <mergeCell ref="P1:P2"/>
    <mergeCell ref="S1:S2"/>
    <mergeCell ref="T1:T2"/>
    <mergeCell ref="C22:D22"/>
    <mergeCell ref="A1:D1"/>
    <mergeCell ref="A3:D3"/>
    <mergeCell ref="C5:D5"/>
    <mergeCell ref="A5:A6"/>
    <mergeCell ref="B5:B6"/>
  </mergeCells>
  <dataValidations disablePrompts="1" count="7">
    <dataValidation type="list" allowBlank="1" showInputMessage="1" showErrorMessage="1" sqref="B12" xr:uid="{B73F1527-FA64-4025-86B1-87265F3B3625}">
      <formula1>$X$2:$X$29</formula1>
    </dataValidation>
    <dataValidation type="list" allowBlank="1" showInputMessage="1" showErrorMessage="1" sqref="A12" xr:uid="{198E581F-A51D-42F2-8525-6035DC17C7E3}">
      <formula1>$W$2:$W$29</formula1>
    </dataValidation>
    <dataValidation type="list" allowBlank="1" showInputMessage="1" showErrorMessage="1" sqref="C12" xr:uid="{C2325707-B144-4FDC-BCEA-7AC62DC141C4}">
      <formula1>$Y$2:$Y$29</formula1>
    </dataValidation>
    <dataValidation type="list" allowBlank="1" showInputMessage="1" showErrorMessage="1" sqref="E12 D7 D24" xr:uid="{6BF0AC91-482B-4FAB-956C-7069033FA11E}">
      <formula1>$N$3:$N$14</formula1>
    </dataValidation>
    <dataValidation type="list" allowBlank="1" showInputMessage="1" showErrorMessage="1" sqref="A7 A24" xr:uid="{3C3C5C1B-C348-49B6-8EFB-EBFE9C49729C}">
      <formula1>$L$3:$L$14</formula1>
    </dataValidation>
    <dataValidation type="list" allowBlank="1" showInputMessage="1" showErrorMessage="1" sqref="B7 B24" xr:uid="{85C3EBC5-3E73-4219-B198-1BF1239F6EBA}">
      <formula1>$O$3:$O$14</formula1>
    </dataValidation>
    <dataValidation type="list" allowBlank="1" showInputMessage="1" showErrorMessage="1" sqref="C24" xr:uid="{45B40925-1034-47B5-AE17-1A1C2A44E4AD}">
      <formula1>$M$3:$M$14</formula1>
    </dataValidation>
  </dataValidation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8F80F4-2231-4283-A73A-DB0C291B0A16}">
  <sheetPr>
    <tabColor rgb="FF92D050"/>
  </sheetPr>
  <dimension ref="A1:L13"/>
  <sheetViews>
    <sheetView workbookViewId="0">
      <selection sqref="A1:E8"/>
    </sheetView>
  </sheetViews>
  <sheetFormatPr defaultRowHeight="15" x14ac:dyDescent="0.25"/>
  <cols>
    <col min="1" max="1" width="36" bestFit="1" customWidth="1"/>
    <col min="2" max="2" width="49.85546875" customWidth="1"/>
    <col min="7" max="7" width="42.5703125" bestFit="1" customWidth="1"/>
    <col min="8" max="8" width="43.28515625" bestFit="1" customWidth="1"/>
    <col min="9" max="9" width="19.7109375" bestFit="1" customWidth="1"/>
    <col min="10" max="10" width="21" bestFit="1" customWidth="1"/>
    <col min="11" max="11" width="10" bestFit="1" customWidth="1"/>
    <col min="12" max="12" width="10.28515625" bestFit="1" customWidth="1"/>
  </cols>
  <sheetData>
    <row r="1" spans="1:12" s="7" customFormat="1" ht="24" x14ac:dyDescent="0.4">
      <c r="A1" s="78" t="s">
        <v>635</v>
      </c>
      <c r="B1" s="78"/>
      <c r="C1"/>
      <c r="D1"/>
      <c r="E1"/>
      <c r="G1" s="16" t="s">
        <v>9</v>
      </c>
      <c r="H1" s="16" t="s">
        <v>8</v>
      </c>
      <c r="I1" s="16" t="s">
        <v>7</v>
      </c>
      <c r="J1" s="16" t="s">
        <v>6</v>
      </c>
      <c r="K1" s="16" t="s">
        <v>5</v>
      </c>
      <c r="L1" s="16" t="s">
        <v>4</v>
      </c>
    </row>
    <row r="2" spans="1:12" x14ac:dyDescent="0.25">
      <c r="G2" s="40" t="s">
        <v>430</v>
      </c>
      <c r="H2" s="40" t="s">
        <v>431</v>
      </c>
      <c r="I2" s="35" t="s">
        <v>432</v>
      </c>
      <c r="J2" s="35" t="s">
        <v>432</v>
      </c>
    </row>
    <row r="3" spans="1:12" x14ac:dyDescent="0.25">
      <c r="A3" s="16" t="s">
        <v>438</v>
      </c>
      <c r="B3" s="16" t="s">
        <v>437</v>
      </c>
      <c r="D3" s="39" t="s">
        <v>428</v>
      </c>
      <c r="E3" s="39" t="s">
        <v>429</v>
      </c>
      <c r="G3" s="4" t="s">
        <v>0</v>
      </c>
      <c r="H3" s="4" t="s">
        <v>0</v>
      </c>
      <c r="I3" s="3">
        <f t="shared" ref="I3:I13" si="0">K3*0.8</f>
        <v>80</v>
      </c>
      <c r="J3" s="3">
        <f t="shared" ref="J3:J13" si="1">K3*0.2</f>
        <v>20</v>
      </c>
      <c r="K3" s="3">
        <v>100</v>
      </c>
      <c r="L3" s="3" t="s">
        <v>1</v>
      </c>
    </row>
    <row r="4" spans="1:12" x14ac:dyDescent="0.25">
      <c r="A4" s="42" t="s">
        <v>0</v>
      </c>
      <c r="B4" s="42" t="s">
        <v>0</v>
      </c>
      <c r="D4" s="1">
        <f>VLOOKUP(A4, G1:I13, 3,FALSE)</f>
        <v>80</v>
      </c>
      <c r="E4" s="1">
        <f>VLOOKUP(B4, H1:J13, 3, FALSE)</f>
        <v>20</v>
      </c>
      <c r="G4" s="4" t="s">
        <v>160</v>
      </c>
      <c r="H4" s="4" t="s">
        <v>159</v>
      </c>
      <c r="I4" s="3">
        <f t="shared" si="0"/>
        <v>72</v>
      </c>
      <c r="J4" s="3">
        <f t="shared" si="1"/>
        <v>18</v>
      </c>
      <c r="K4" s="3">
        <v>90</v>
      </c>
      <c r="L4" s="3" t="s">
        <v>1</v>
      </c>
    </row>
    <row r="5" spans="1:12" x14ac:dyDescent="0.25">
      <c r="G5" s="4" t="s">
        <v>162</v>
      </c>
      <c r="H5" s="4" t="s">
        <v>161</v>
      </c>
      <c r="I5" s="3">
        <f t="shared" si="0"/>
        <v>64</v>
      </c>
      <c r="J5" s="3">
        <f t="shared" si="1"/>
        <v>16</v>
      </c>
      <c r="K5" s="3">
        <v>80</v>
      </c>
      <c r="L5" s="3" t="s">
        <v>1</v>
      </c>
    </row>
    <row r="6" spans="1:12" x14ac:dyDescent="0.25">
      <c r="G6" s="4" t="s">
        <v>164</v>
      </c>
      <c r="H6" s="4" t="s">
        <v>163</v>
      </c>
      <c r="I6" s="3">
        <f t="shared" si="0"/>
        <v>56</v>
      </c>
      <c r="J6" s="3">
        <f t="shared" si="1"/>
        <v>14</v>
      </c>
      <c r="K6" s="3">
        <v>70</v>
      </c>
      <c r="L6" s="3" t="s">
        <v>2</v>
      </c>
    </row>
    <row r="7" spans="1:12" x14ac:dyDescent="0.25">
      <c r="A7" s="44" t="s">
        <v>636</v>
      </c>
      <c r="B7" s="44">
        <f>IF(D4=0, 0, D4+E4)</f>
        <v>100</v>
      </c>
      <c r="G7" s="4" t="s">
        <v>166</v>
      </c>
      <c r="H7" s="4" t="s">
        <v>165</v>
      </c>
      <c r="I7" s="3">
        <f t="shared" si="0"/>
        <v>48</v>
      </c>
      <c r="J7" s="3">
        <f t="shared" si="1"/>
        <v>12</v>
      </c>
      <c r="K7" s="3">
        <v>60</v>
      </c>
      <c r="L7" s="3" t="s">
        <v>2</v>
      </c>
    </row>
    <row r="8" spans="1:12" x14ac:dyDescent="0.25">
      <c r="A8" s="44" t="s">
        <v>637</v>
      </c>
      <c r="B8" s="44" t="str">
        <f>IF(AND(B7&gt;=80, B7&lt;=100), "GOOD", IF(AND(B7&gt;40, B7&lt;80), "FAIR", "POOR"))</f>
        <v>GOOD</v>
      </c>
      <c r="G8" s="4" t="s">
        <v>168</v>
      </c>
      <c r="H8" s="4" t="s">
        <v>167</v>
      </c>
      <c r="I8" s="3">
        <f t="shared" si="0"/>
        <v>40</v>
      </c>
      <c r="J8" s="3">
        <f t="shared" si="1"/>
        <v>10</v>
      </c>
      <c r="K8" s="3">
        <v>50</v>
      </c>
      <c r="L8" s="3" t="s">
        <v>2</v>
      </c>
    </row>
    <row r="9" spans="1:12" x14ac:dyDescent="0.25">
      <c r="G9" s="4" t="s">
        <v>170</v>
      </c>
      <c r="H9" s="4" t="s">
        <v>169</v>
      </c>
      <c r="I9" s="3">
        <f t="shared" si="0"/>
        <v>32</v>
      </c>
      <c r="J9" s="3">
        <f t="shared" si="1"/>
        <v>8</v>
      </c>
      <c r="K9" s="3">
        <v>40</v>
      </c>
      <c r="L9" s="3" t="s">
        <v>3</v>
      </c>
    </row>
    <row r="10" spans="1:12" x14ac:dyDescent="0.25">
      <c r="G10" s="4" t="s">
        <v>172</v>
      </c>
      <c r="H10" s="4" t="s">
        <v>171</v>
      </c>
      <c r="I10" s="3">
        <f t="shared" si="0"/>
        <v>24</v>
      </c>
      <c r="J10" s="3">
        <f t="shared" si="1"/>
        <v>6</v>
      </c>
      <c r="K10" s="3">
        <v>30</v>
      </c>
      <c r="L10" s="3" t="s">
        <v>3</v>
      </c>
    </row>
    <row r="11" spans="1:12" x14ac:dyDescent="0.25">
      <c r="G11" s="4" t="s">
        <v>174</v>
      </c>
      <c r="H11" s="4" t="s">
        <v>173</v>
      </c>
      <c r="I11" s="3">
        <f t="shared" si="0"/>
        <v>16</v>
      </c>
      <c r="J11" s="3">
        <f t="shared" si="1"/>
        <v>4</v>
      </c>
      <c r="K11" s="3">
        <v>20</v>
      </c>
      <c r="L11" s="3" t="s">
        <v>3</v>
      </c>
    </row>
    <row r="12" spans="1:12" x14ac:dyDescent="0.25">
      <c r="G12" s="4" t="s">
        <v>176</v>
      </c>
      <c r="H12" s="4" t="s">
        <v>175</v>
      </c>
      <c r="I12" s="3">
        <f t="shared" si="0"/>
        <v>8</v>
      </c>
      <c r="J12" s="3">
        <f t="shared" si="1"/>
        <v>2</v>
      </c>
      <c r="K12" s="3">
        <v>10</v>
      </c>
      <c r="L12" s="3" t="s">
        <v>3</v>
      </c>
    </row>
    <row r="13" spans="1:12" x14ac:dyDescent="0.25">
      <c r="G13" s="4" t="s">
        <v>178</v>
      </c>
      <c r="H13" s="4" t="s">
        <v>177</v>
      </c>
      <c r="I13" s="3">
        <f t="shared" si="0"/>
        <v>0</v>
      </c>
      <c r="J13" s="3">
        <f t="shared" si="1"/>
        <v>0</v>
      </c>
      <c r="K13" s="3">
        <v>0</v>
      </c>
      <c r="L13" s="3" t="s">
        <v>3</v>
      </c>
    </row>
  </sheetData>
  <autoFilter ref="G1:L1" xr:uid="{168F80F4-2231-4283-A73A-DB0C291B0A16}"/>
  <mergeCells count="1">
    <mergeCell ref="A1:B1"/>
  </mergeCells>
  <dataValidations count="3">
    <dataValidation type="list" allowBlank="1" showInputMessage="1" showErrorMessage="1" sqref="A5" xr:uid="{148079F0-E144-43F4-AC56-EEEB6BCBA377}">
      <formula1>$K$5:$K$13</formula1>
    </dataValidation>
    <dataValidation type="list" allowBlank="1" showInputMessage="1" showErrorMessage="1" sqref="A4" xr:uid="{03B6F6C3-9D5F-4442-A44D-F28860AAF68D}">
      <formula1>$G$2:$G$13</formula1>
    </dataValidation>
    <dataValidation type="list" allowBlank="1" showInputMessage="1" showErrorMessage="1" sqref="B4" xr:uid="{551692D1-E429-4E43-BAA2-DFA0D278FE52}">
      <formula1>$H$2:$H$13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211AA5-8140-4676-B948-26579A1852EA}">
  <sheetPr>
    <tabColor rgb="FF92D050"/>
  </sheetPr>
  <dimension ref="A1:I13"/>
  <sheetViews>
    <sheetView workbookViewId="0">
      <selection activeCell="F6" sqref="F6"/>
    </sheetView>
  </sheetViews>
  <sheetFormatPr defaultRowHeight="15" x14ac:dyDescent="0.25"/>
  <cols>
    <col min="1" max="1" width="36" bestFit="1" customWidth="1"/>
    <col min="2" max="2" width="42.42578125" customWidth="1"/>
    <col min="6" max="6" width="96.7109375" style="18" customWidth="1"/>
    <col min="7" max="7" width="19.7109375" bestFit="1" customWidth="1"/>
    <col min="8" max="8" width="10" bestFit="1" customWidth="1"/>
    <col min="9" max="9" width="10.28515625" bestFit="1" customWidth="1"/>
  </cols>
  <sheetData>
    <row r="1" spans="1:9" s="15" customFormat="1" ht="24" x14ac:dyDescent="0.4">
      <c r="A1" s="78" t="s">
        <v>638</v>
      </c>
      <c r="B1" s="78"/>
      <c r="C1"/>
      <c r="D1"/>
      <c r="E1"/>
      <c r="F1" s="16" t="s">
        <v>9</v>
      </c>
      <c r="G1" s="16" t="s">
        <v>7</v>
      </c>
      <c r="H1" s="16" t="s">
        <v>410</v>
      </c>
      <c r="I1" s="16" t="s">
        <v>4</v>
      </c>
    </row>
    <row r="2" spans="1:9" x14ac:dyDescent="0.25">
      <c r="F2" s="40" t="s">
        <v>430</v>
      </c>
      <c r="G2" s="40" t="s">
        <v>430</v>
      </c>
      <c r="H2" s="2"/>
      <c r="I2" s="2"/>
    </row>
    <row r="3" spans="1:9" x14ac:dyDescent="0.25">
      <c r="A3" s="16" t="s">
        <v>438</v>
      </c>
      <c r="B3" s="14"/>
      <c r="D3" s="39" t="s">
        <v>428</v>
      </c>
      <c r="E3" s="39"/>
      <c r="F3" s="4" t="s">
        <v>0</v>
      </c>
      <c r="G3" s="8">
        <v>100</v>
      </c>
      <c r="H3" s="8">
        <f t="shared" ref="H3:H13" si="0">G3</f>
        <v>100</v>
      </c>
      <c r="I3" s="10" t="s">
        <v>1</v>
      </c>
    </row>
    <row r="4" spans="1:9" x14ac:dyDescent="0.25">
      <c r="A4" s="58" t="s">
        <v>0</v>
      </c>
      <c r="B4" s="42"/>
      <c r="D4" s="1">
        <f>VLOOKUP(A4, F2:H13, 3,FALSE)</f>
        <v>100</v>
      </c>
      <c r="E4" s="1"/>
      <c r="F4" s="4" t="s">
        <v>179</v>
      </c>
      <c r="G4" s="8">
        <v>90</v>
      </c>
      <c r="H4" s="8">
        <f t="shared" si="0"/>
        <v>90</v>
      </c>
      <c r="I4" s="10" t="s">
        <v>1</v>
      </c>
    </row>
    <row r="5" spans="1:9" x14ac:dyDescent="0.25">
      <c r="F5" s="4" t="s">
        <v>180</v>
      </c>
      <c r="G5" s="8">
        <v>80</v>
      </c>
      <c r="H5" s="8">
        <f t="shared" si="0"/>
        <v>80</v>
      </c>
      <c r="I5" s="10" t="s">
        <v>1</v>
      </c>
    </row>
    <row r="6" spans="1:9" x14ac:dyDescent="0.25">
      <c r="F6" s="4" t="s">
        <v>181</v>
      </c>
      <c r="G6" s="8">
        <v>70</v>
      </c>
      <c r="H6" s="8">
        <f t="shared" si="0"/>
        <v>70</v>
      </c>
      <c r="I6" s="10" t="s">
        <v>2</v>
      </c>
    </row>
    <row r="7" spans="1:9" x14ac:dyDescent="0.25">
      <c r="A7" s="44" t="s">
        <v>639</v>
      </c>
      <c r="B7" s="44">
        <f>IF(D4=0, 0, D4+E4)</f>
        <v>100</v>
      </c>
      <c r="F7" s="4" t="s">
        <v>182</v>
      </c>
      <c r="G7" s="8">
        <v>60</v>
      </c>
      <c r="H7" s="8">
        <f t="shared" si="0"/>
        <v>60</v>
      </c>
      <c r="I7" s="10" t="s">
        <v>2</v>
      </c>
    </row>
    <row r="8" spans="1:9" x14ac:dyDescent="0.25">
      <c r="A8" s="44" t="s">
        <v>640</v>
      </c>
      <c r="B8" s="44" t="str">
        <f>IF(AND(B7&gt;=80, B7&lt;=100), "GOOD", IF(AND(B7&gt;40, B7&lt;80), "FAIR", "POOR"))</f>
        <v>GOOD</v>
      </c>
      <c r="F8" s="4" t="s">
        <v>183</v>
      </c>
      <c r="G8" s="8">
        <v>50</v>
      </c>
      <c r="H8" s="8">
        <f t="shared" si="0"/>
        <v>50</v>
      </c>
      <c r="I8" s="10" t="s">
        <v>2</v>
      </c>
    </row>
    <row r="9" spans="1:9" x14ac:dyDescent="0.25">
      <c r="F9" s="4" t="s">
        <v>188</v>
      </c>
      <c r="G9" s="8">
        <v>40</v>
      </c>
      <c r="H9" s="8">
        <f t="shared" si="0"/>
        <v>40</v>
      </c>
      <c r="I9" s="10" t="s">
        <v>3</v>
      </c>
    </row>
    <row r="10" spans="1:9" x14ac:dyDescent="0.25">
      <c r="F10" s="4" t="s">
        <v>187</v>
      </c>
      <c r="G10" s="8">
        <v>30</v>
      </c>
      <c r="H10" s="8">
        <f t="shared" si="0"/>
        <v>30</v>
      </c>
      <c r="I10" s="10" t="s">
        <v>3</v>
      </c>
    </row>
    <row r="11" spans="1:9" x14ac:dyDescent="0.25">
      <c r="F11" s="4" t="s">
        <v>186</v>
      </c>
      <c r="G11" s="8">
        <v>20</v>
      </c>
      <c r="H11" s="8">
        <f t="shared" si="0"/>
        <v>20</v>
      </c>
      <c r="I11" s="10" t="s">
        <v>3</v>
      </c>
    </row>
    <row r="12" spans="1:9" x14ac:dyDescent="0.25">
      <c r="F12" s="4" t="s">
        <v>184</v>
      </c>
      <c r="G12" s="8">
        <v>10</v>
      </c>
      <c r="H12" s="8">
        <f t="shared" si="0"/>
        <v>10</v>
      </c>
      <c r="I12" s="10" t="s">
        <v>3</v>
      </c>
    </row>
    <row r="13" spans="1:9" x14ac:dyDescent="0.25">
      <c r="F13" s="4" t="s">
        <v>185</v>
      </c>
      <c r="G13" s="8">
        <v>0</v>
      </c>
      <c r="H13" s="8">
        <f t="shared" si="0"/>
        <v>0</v>
      </c>
      <c r="I13" s="10" t="s">
        <v>3</v>
      </c>
    </row>
  </sheetData>
  <mergeCells count="1">
    <mergeCell ref="A1:B1"/>
  </mergeCells>
  <dataValidations count="2">
    <dataValidation type="list" allowBlank="1" showInputMessage="1" showErrorMessage="1" sqref="A4" xr:uid="{3A439372-3D3C-45CB-9E64-5EC20EBBCAE7}">
      <formula1>$F$2:$F$13</formula1>
    </dataValidation>
    <dataValidation type="list" allowBlank="1" showInputMessage="1" showErrorMessage="1" sqref="A5" xr:uid="{A3B21A0F-35A1-4400-B35A-719FD7EE34B6}">
      <formula1>$H$6:$H$13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54C029-FFDF-455E-8EF0-F3FB68804A20}">
  <sheetPr>
    <tabColor rgb="FF92D050"/>
  </sheetPr>
  <dimension ref="A1:I13"/>
  <sheetViews>
    <sheetView zoomScaleNormal="100" workbookViewId="0">
      <selection activeCell="F21" sqref="F21"/>
    </sheetView>
  </sheetViews>
  <sheetFormatPr defaultRowHeight="15" x14ac:dyDescent="0.25"/>
  <cols>
    <col min="1" max="1" width="36" bestFit="1" customWidth="1"/>
    <col min="2" max="2" width="47.7109375" customWidth="1"/>
    <col min="6" max="6" width="123.7109375" bestFit="1" customWidth="1"/>
    <col min="7" max="7" width="19.7109375" bestFit="1" customWidth="1"/>
    <col min="8" max="8" width="10" bestFit="1" customWidth="1"/>
    <col min="9" max="9" width="10.28515625" bestFit="1" customWidth="1"/>
  </cols>
  <sheetData>
    <row r="1" spans="1:9" s="15" customFormat="1" ht="24" x14ac:dyDescent="0.4">
      <c r="A1" s="78" t="s">
        <v>652</v>
      </c>
      <c r="B1" s="78"/>
      <c r="C1"/>
      <c r="D1"/>
      <c r="F1" s="29" t="s">
        <v>9</v>
      </c>
      <c r="G1" s="6" t="s">
        <v>7</v>
      </c>
      <c r="H1" s="6" t="s">
        <v>104</v>
      </c>
      <c r="I1" s="6" t="s">
        <v>4</v>
      </c>
    </row>
    <row r="2" spans="1:9" x14ac:dyDescent="0.25">
      <c r="F2" s="40" t="s">
        <v>430</v>
      </c>
      <c r="G2" s="40" t="s">
        <v>430</v>
      </c>
      <c r="H2" s="2"/>
      <c r="I2" s="2"/>
    </row>
    <row r="3" spans="1:9" x14ac:dyDescent="0.25">
      <c r="A3" s="16" t="s">
        <v>438</v>
      </c>
      <c r="B3" s="14"/>
      <c r="D3" s="39" t="s">
        <v>428</v>
      </c>
      <c r="F3" s="2" t="s">
        <v>0</v>
      </c>
      <c r="G3" s="8">
        <v>100</v>
      </c>
      <c r="H3" s="8">
        <v>100</v>
      </c>
      <c r="I3" s="10" t="s">
        <v>1</v>
      </c>
    </row>
    <row r="4" spans="1:9" ht="60" x14ac:dyDescent="0.25">
      <c r="A4" s="58" t="s">
        <v>646</v>
      </c>
      <c r="B4" s="42"/>
      <c r="D4" s="1">
        <f>VLOOKUP(A4, F3:H13, 3,FALSE)</f>
        <v>30</v>
      </c>
      <c r="F4" s="2" t="s">
        <v>642</v>
      </c>
      <c r="G4" s="8">
        <v>90</v>
      </c>
      <c r="H4" s="8">
        <v>90</v>
      </c>
      <c r="I4" s="10" t="s">
        <v>1</v>
      </c>
    </row>
    <row r="5" spans="1:9" x14ac:dyDescent="0.25">
      <c r="F5" s="10" t="s">
        <v>651</v>
      </c>
      <c r="G5" s="8">
        <v>80</v>
      </c>
      <c r="H5" s="8">
        <v>80</v>
      </c>
      <c r="I5" s="10" t="s">
        <v>1</v>
      </c>
    </row>
    <row r="6" spans="1:9" x14ac:dyDescent="0.25">
      <c r="F6" s="2" t="s">
        <v>650</v>
      </c>
      <c r="G6" s="8">
        <v>70</v>
      </c>
      <c r="H6" s="8">
        <v>70</v>
      </c>
      <c r="I6" s="10" t="s">
        <v>2</v>
      </c>
    </row>
    <row r="7" spans="1:9" x14ac:dyDescent="0.25">
      <c r="A7" s="44" t="s">
        <v>653</v>
      </c>
      <c r="B7" s="44">
        <f>IF(D4=0, 0, D4+E4)</f>
        <v>30</v>
      </c>
      <c r="F7" s="2" t="s">
        <v>649</v>
      </c>
      <c r="G7" s="8">
        <v>60</v>
      </c>
      <c r="H7" s="8">
        <v>60</v>
      </c>
      <c r="I7" s="10" t="s">
        <v>2</v>
      </c>
    </row>
    <row r="8" spans="1:9" x14ac:dyDescent="0.25">
      <c r="A8" s="44" t="s">
        <v>654</v>
      </c>
      <c r="B8" s="44" t="str">
        <f>IF(AND(B7&gt;=80, B7&lt;=100), "GOOD", IF(AND(B7&gt;40, B7&lt;80), "FAIR", "POOR"))</f>
        <v>POOR</v>
      </c>
      <c r="F8" s="2" t="s">
        <v>648</v>
      </c>
      <c r="G8" s="8">
        <v>50</v>
      </c>
      <c r="H8" s="8">
        <v>50</v>
      </c>
      <c r="I8" s="10" t="s">
        <v>2</v>
      </c>
    </row>
    <row r="9" spans="1:9" x14ac:dyDescent="0.25">
      <c r="F9" s="2" t="s">
        <v>647</v>
      </c>
      <c r="G9" s="8">
        <v>40</v>
      </c>
      <c r="H9" s="8">
        <v>40</v>
      </c>
      <c r="I9" s="10" t="s">
        <v>3</v>
      </c>
    </row>
    <row r="10" spans="1:9" x14ac:dyDescent="0.25">
      <c r="F10" s="2" t="s">
        <v>646</v>
      </c>
      <c r="G10" s="8">
        <v>30</v>
      </c>
      <c r="H10" s="8">
        <v>30</v>
      </c>
      <c r="I10" s="10" t="s">
        <v>3</v>
      </c>
    </row>
    <row r="11" spans="1:9" x14ac:dyDescent="0.25">
      <c r="F11" s="2" t="s">
        <v>645</v>
      </c>
      <c r="G11" s="8">
        <v>20</v>
      </c>
      <c r="H11" s="8">
        <v>20</v>
      </c>
      <c r="I11" s="10" t="s">
        <v>3</v>
      </c>
    </row>
    <row r="12" spans="1:9" x14ac:dyDescent="0.25">
      <c r="F12" s="2" t="s">
        <v>644</v>
      </c>
      <c r="G12" s="8">
        <v>10</v>
      </c>
      <c r="H12" s="8">
        <v>10</v>
      </c>
      <c r="I12" s="10" t="s">
        <v>3</v>
      </c>
    </row>
    <row r="13" spans="1:9" x14ac:dyDescent="0.25">
      <c r="F13" s="2" t="s">
        <v>643</v>
      </c>
      <c r="G13" s="8">
        <v>0</v>
      </c>
      <c r="H13" s="8">
        <v>0</v>
      </c>
      <c r="I13" s="10" t="s">
        <v>3</v>
      </c>
    </row>
  </sheetData>
  <autoFilter ref="F1:I1" xr:uid="{2354C029-FFDF-455E-8EF0-F3FB68804A20}">
    <sortState xmlns:xlrd2="http://schemas.microsoft.com/office/spreadsheetml/2017/richdata2" ref="F2:I12">
      <sortCondition descending="1" ref="H1"/>
    </sortState>
  </autoFilter>
  <mergeCells count="1">
    <mergeCell ref="A1:B1"/>
  </mergeCells>
  <dataValidations count="2">
    <dataValidation type="list" allowBlank="1" showInputMessage="1" showErrorMessage="1" sqref="A5" xr:uid="{3083B263-B480-4502-A87A-0F7E2BDCE328}">
      <formula1>$H$7:$H$13</formula1>
    </dataValidation>
    <dataValidation type="list" allowBlank="1" showInputMessage="1" showErrorMessage="1" sqref="A4" xr:uid="{C47391B6-D711-427E-AC37-5B9D3234B435}">
      <formula1>$F$2:$F$13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923CD-C77A-40E1-BFF3-D0FCB4DFFFB9}">
  <sheetPr>
    <tabColor rgb="FF92D050"/>
  </sheetPr>
  <dimension ref="A1:L13"/>
  <sheetViews>
    <sheetView workbookViewId="0">
      <selection sqref="A1:E8"/>
    </sheetView>
  </sheetViews>
  <sheetFormatPr defaultRowHeight="15" x14ac:dyDescent="0.25"/>
  <cols>
    <col min="1" max="1" width="36" bestFit="1" customWidth="1"/>
    <col min="2" max="2" width="42.140625" customWidth="1"/>
    <col min="7" max="7" width="54.85546875" style="18" bestFit="1" customWidth="1"/>
    <col min="8" max="8" width="43.7109375" style="18" bestFit="1" customWidth="1"/>
    <col min="9" max="9" width="19.7109375" bestFit="1" customWidth="1"/>
    <col min="10" max="10" width="21" bestFit="1" customWidth="1"/>
    <col min="11" max="11" width="10.140625" bestFit="1" customWidth="1"/>
    <col min="12" max="12" width="10.28515625" bestFit="1" customWidth="1"/>
  </cols>
  <sheetData>
    <row r="1" spans="1:12" s="23" customFormat="1" ht="24" x14ac:dyDescent="0.4">
      <c r="A1" s="78" t="s">
        <v>669</v>
      </c>
      <c r="B1" s="78"/>
      <c r="C1"/>
      <c r="D1"/>
      <c r="E1"/>
      <c r="G1" s="6" t="s">
        <v>197</v>
      </c>
      <c r="H1" s="6" t="s">
        <v>8</v>
      </c>
      <c r="I1" s="6" t="s">
        <v>217</v>
      </c>
      <c r="J1" s="6" t="s">
        <v>6</v>
      </c>
      <c r="K1" s="6" t="s">
        <v>218</v>
      </c>
      <c r="L1" s="6" t="s">
        <v>4</v>
      </c>
    </row>
    <row r="2" spans="1:12" s="23" customFormat="1" x14ac:dyDescent="0.25">
      <c r="A2"/>
      <c r="B2"/>
      <c r="C2"/>
      <c r="D2"/>
      <c r="E2"/>
      <c r="G2" s="40" t="s">
        <v>430</v>
      </c>
      <c r="H2" s="40" t="s">
        <v>431</v>
      </c>
      <c r="I2" s="35" t="s">
        <v>432</v>
      </c>
      <c r="J2" s="35" t="s">
        <v>432</v>
      </c>
      <c r="K2" s="2"/>
      <c r="L2" s="2"/>
    </row>
    <row r="3" spans="1:12" x14ac:dyDescent="0.25">
      <c r="A3" s="16" t="s">
        <v>670</v>
      </c>
      <c r="B3" s="16" t="s">
        <v>437</v>
      </c>
      <c r="D3" s="39" t="s">
        <v>428</v>
      </c>
      <c r="E3" s="39" t="s">
        <v>429</v>
      </c>
      <c r="G3" s="2" t="s">
        <v>0</v>
      </c>
      <c r="H3" s="2" t="s">
        <v>0</v>
      </c>
      <c r="I3" s="8">
        <v>50</v>
      </c>
      <c r="J3" s="8">
        <v>50</v>
      </c>
      <c r="K3" s="8">
        <f t="shared" ref="K3:K13" si="0">I3+J3</f>
        <v>100</v>
      </c>
      <c r="L3" s="10" t="s">
        <v>1</v>
      </c>
    </row>
    <row r="4" spans="1:12" x14ac:dyDescent="0.25">
      <c r="A4" s="42" t="s">
        <v>0</v>
      </c>
      <c r="B4" s="42" t="s">
        <v>0</v>
      </c>
      <c r="D4" s="1">
        <f>VLOOKUP(A4, G1:I13, 3,FALSE)</f>
        <v>50</v>
      </c>
      <c r="E4" s="1">
        <f>VLOOKUP(B4, H1:J13, 3, FALSE)</f>
        <v>50</v>
      </c>
      <c r="G4" s="2" t="s">
        <v>657</v>
      </c>
      <c r="H4" s="2" t="s">
        <v>658</v>
      </c>
      <c r="I4" s="8">
        <v>45</v>
      </c>
      <c r="J4" s="8">
        <v>45</v>
      </c>
      <c r="K4" s="8">
        <f t="shared" si="0"/>
        <v>90</v>
      </c>
      <c r="L4" s="10" t="s">
        <v>1</v>
      </c>
    </row>
    <row r="5" spans="1:12" x14ac:dyDescent="0.25">
      <c r="G5" s="2" t="s">
        <v>191</v>
      </c>
      <c r="H5" s="2" t="s">
        <v>190</v>
      </c>
      <c r="I5" s="8">
        <v>40</v>
      </c>
      <c r="J5" s="8">
        <v>40</v>
      </c>
      <c r="K5" s="8">
        <f t="shared" si="0"/>
        <v>80</v>
      </c>
      <c r="L5" s="10" t="s">
        <v>1</v>
      </c>
    </row>
    <row r="6" spans="1:12" x14ac:dyDescent="0.25">
      <c r="G6" s="2" t="s">
        <v>192</v>
      </c>
      <c r="H6" s="2" t="s">
        <v>193</v>
      </c>
      <c r="I6" s="8">
        <v>35</v>
      </c>
      <c r="J6" s="8">
        <v>35</v>
      </c>
      <c r="K6" s="8">
        <f t="shared" si="0"/>
        <v>70</v>
      </c>
      <c r="L6" s="10" t="s">
        <v>2</v>
      </c>
    </row>
    <row r="7" spans="1:12" x14ac:dyDescent="0.25">
      <c r="A7" s="44" t="s">
        <v>671</v>
      </c>
      <c r="B7" s="44">
        <f>IF(OR(D4=0,E4=0), 0, D4+E4)</f>
        <v>100</v>
      </c>
      <c r="G7" s="2" t="s">
        <v>665</v>
      </c>
      <c r="H7" s="2" t="s">
        <v>194</v>
      </c>
      <c r="I7" s="8">
        <v>30</v>
      </c>
      <c r="J7" s="8">
        <v>30</v>
      </c>
      <c r="K7" s="8">
        <f t="shared" si="0"/>
        <v>60</v>
      </c>
      <c r="L7" s="10" t="s">
        <v>2</v>
      </c>
    </row>
    <row r="8" spans="1:12" x14ac:dyDescent="0.25">
      <c r="A8" s="44" t="s">
        <v>672</v>
      </c>
      <c r="B8" s="44" t="str">
        <f>IF(AND(B7&gt;=80, B7&lt;=100), "GOOD", IF(AND(B7&gt;40, B7&lt;80), "FAIR", "POOR"))</f>
        <v>GOOD</v>
      </c>
      <c r="G8" s="2" t="s">
        <v>666</v>
      </c>
      <c r="H8" s="2" t="s">
        <v>195</v>
      </c>
      <c r="I8" s="8">
        <v>25</v>
      </c>
      <c r="J8" s="8">
        <v>25</v>
      </c>
      <c r="K8" s="8">
        <f t="shared" si="0"/>
        <v>50</v>
      </c>
      <c r="L8" s="10" t="s">
        <v>2</v>
      </c>
    </row>
    <row r="9" spans="1:12" x14ac:dyDescent="0.25">
      <c r="G9" s="2" t="s">
        <v>656</v>
      </c>
      <c r="H9" s="2" t="s">
        <v>659</v>
      </c>
      <c r="I9" s="8">
        <v>20</v>
      </c>
      <c r="J9" s="8">
        <v>20</v>
      </c>
      <c r="K9" s="8">
        <f t="shared" si="0"/>
        <v>40</v>
      </c>
      <c r="L9" s="10" t="s">
        <v>3</v>
      </c>
    </row>
    <row r="10" spans="1:12" x14ac:dyDescent="0.25">
      <c r="G10" s="2" t="s">
        <v>667</v>
      </c>
      <c r="H10" s="2" t="s">
        <v>196</v>
      </c>
      <c r="I10" s="8">
        <v>15</v>
      </c>
      <c r="J10" s="8">
        <v>15</v>
      </c>
      <c r="K10" s="8">
        <f t="shared" si="0"/>
        <v>30</v>
      </c>
      <c r="L10" s="10" t="s">
        <v>3</v>
      </c>
    </row>
    <row r="11" spans="1:12" x14ac:dyDescent="0.25">
      <c r="G11" s="2" t="s">
        <v>662</v>
      </c>
      <c r="H11" s="2" t="s">
        <v>660</v>
      </c>
      <c r="I11" s="8">
        <v>10</v>
      </c>
      <c r="J11" s="8">
        <v>10</v>
      </c>
      <c r="K11" s="8">
        <f t="shared" si="0"/>
        <v>20</v>
      </c>
      <c r="L11" s="10" t="s">
        <v>3</v>
      </c>
    </row>
    <row r="12" spans="1:12" x14ac:dyDescent="0.25">
      <c r="G12" s="2" t="s">
        <v>663</v>
      </c>
      <c r="H12" s="2" t="s">
        <v>661</v>
      </c>
      <c r="I12" s="8">
        <v>5</v>
      </c>
      <c r="J12" s="8">
        <v>5</v>
      </c>
      <c r="K12" s="8">
        <f t="shared" si="0"/>
        <v>10</v>
      </c>
      <c r="L12" s="10" t="s">
        <v>3</v>
      </c>
    </row>
    <row r="13" spans="1:12" x14ac:dyDescent="0.25">
      <c r="G13" s="2" t="s">
        <v>664</v>
      </c>
      <c r="H13" s="2" t="s">
        <v>668</v>
      </c>
      <c r="I13" s="8">
        <v>0</v>
      </c>
      <c r="J13" s="8">
        <v>0</v>
      </c>
      <c r="K13" s="8">
        <f t="shared" si="0"/>
        <v>0</v>
      </c>
      <c r="L13" s="10" t="s">
        <v>3</v>
      </c>
    </row>
  </sheetData>
  <autoFilter ref="G1:L1" xr:uid="{1C7923CD-C77A-40E1-BFF3-D0FCB4DFFFB9}">
    <sortState xmlns:xlrd2="http://schemas.microsoft.com/office/spreadsheetml/2017/richdata2" ref="G2:L12">
      <sortCondition descending="1" ref="K1"/>
    </sortState>
  </autoFilter>
  <mergeCells count="1">
    <mergeCell ref="A1:B1"/>
  </mergeCells>
  <dataValidations count="3">
    <dataValidation type="list" allowBlank="1" showInputMessage="1" showErrorMessage="1" sqref="A5" xr:uid="{73922332-513F-44B3-85B4-37118D9C0F4B}">
      <formula1>$K$4:$K$12</formula1>
    </dataValidation>
    <dataValidation type="list" allowBlank="1" showInputMessage="1" showErrorMessage="1" sqref="A4" xr:uid="{680CF42B-2B17-4BEC-B412-01F7BE865E10}">
      <formula1>$G$2:$G$13</formula1>
    </dataValidation>
    <dataValidation type="list" allowBlank="1" showInputMessage="1" showErrorMessage="1" sqref="B4" xr:uid="{3EFC5E03-D3B5-4731-9651-624A6621DAC3}">
      <formula1>$H$2:$H$13</formula1>
    </dataValidation>
  </dataValidation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CAC5E2-F055-473B-A03C-461D3B5A75A8}">
  <sheetPr>
    <tabColor rgb="FF92D050"/>
  </sheetPr>
  <dimension ref="A1:V22"/>
  <sheetViews>
    <sheetView zoomScale="85" zoomScaleNormal="85" workbookViewId="0">
      <selection activeCell="F21" sqref="F21"/>
    </sheetView>
  </sheetViews>
  <sheetFormatPr defaultRowHeight="15" x14ac:dyDescent="0.25"/>
  <cols>
    <col min="1" max="1" width="51.42578125" bestFit="1" customWidth="1"/>
    <col min="2" max="2" width="23.5703125" bestFit="1" customWidth="1"/>
    <col min="3" max="3" width="23" bestFit="1" customWidth="1"/>
    <col min="4" max="4" width="40.85546875" bestFit="1" customWidth="1"/>
    <col min="6" max="6" width="11.28515625" bestFit="1" customWidth="1"/>
    <col min="7" max="9" width="5.7109375" customWidth="1"/>
    <col min="12" max="12" width="78.28515625" bestFit="1" customWidth="1"/>
    <col min="13" max="13" width="23.85546875" bestFit="1" customWidth="1"/>
    <col min="14" max="14" width="34.28515625" bestFit="1" customWidth="1"/>
    <col min="15" max="15" width="22.42578125" bestFit="1" customWidth="1"/>
    <col min="16" max="16" width="21.140625" bestFit="1" customWidth="1"/>
    <col min="17" max="17" width="22.28515625" bestFit="1" customWidth="1"/>
    <col min="18" max="18" width="26.42578125" bestFit="1" customWidth="1"/>
    <col min="19" max="19" width="11.28515625" style="1" bestFit="1" customWidth="1"/>
    <col min="21" max="22" width="9.140625" style="1"/>
  </cols>
  <sheetData>
    <row r="1" spans="1:22" s="30" customFormat="1" ht="23.25" customHeight="1" x14ac:dyDescent="0.4">
      <c r="A1" s="80" t="s">
        <v>675</v>
      </c>
      <c r="B1" s="80"/>
      <c r="C1" s="80"/>
      <c r="D1" s="80"/>
      <c r="E1" s="50"/>
      <c r="F1"/>
      <c r="G1"/>
      <c r="H1"/>
      <c r="L1" s="24" t="s">
        <v>197</v>
      </c>
      <c r="M1" s="24" t="s">
        <v>219</v>
      </c>
      <c r="N1" s="24" t="s">
        <v>79</v>
      </c>
      <c r="O1" s="24" t="s">
        <v>206</v>
      </c>
      <c r="P1" s="24" t="s">
        <v>220</v>
      </c>
      <c r="Q1" s="24" t="s">
        <v>221</v>
      </c>
      <c r="R1" s="24" t="s">
        <v>412</v>
      </c>
      <c r="S1" s="24" t="s">
        <v>4</v>
      </c>
      <c r="U1" s="31"/>
      <c r="V1" s="31"/>
    </row>
    <row r="2" spans="1:22" ht="21" customHeight="1" x14ac:dyDescent="0.25">
      <c r="L2" s="2" t="s">
        <v>0</v>
      </c>
      <c r="M2" s="2" t="s">
        <v>0</v>
      </c>
      <c r="N2" s="2" t="s">
        <v>0</v>
      </c>
      <c r="O2" s="8">
        <v>100</v>
      </c>
      <c r="P2" s="8">
        <v>70</v>
      </c>
      <c r="Q2" s="8">
        <v>30</v>
      </c>
      <c r="R2" s="8">
        <f t="shared" ref="R2:R12" si="0">0.5*O2+0.5*(P2+Q2)</f>
        <v>100</v>
      </c>
      <c r="S2" s="8" t="s">
        <v>1</v>
      </c>
    </row>
    <row r="3" spans="1:22" ht="24.95" customHeight="1" x14ac:dyDescent="0.25">
      <c r="A3" s="81" t="s">
        <v>680</v>
      </c>
      <c r="B3" s="81"/>
      <c r="C3" s="81"/>
      <c r="D3" s="81"/>
      <c r="E3" s="49"/>
      <c r="G3" s="39"/>
      <c r="H3" s="39"/>
      <c r="L3" s="2" t="s">
        <v>189</v>
      </c>
      <c r="M3" s="2" t="s">
        <v>108</v>
      </c>
      <c r="N3" s="2" t="s">
        <v>107</v>
      </c>
      <c r="O3" s="8">
        <v>90</v>
      </c>
      <c r="P3" s="8">
        <v>62.999999999999993</v>
      </c>
      <c r="Q3" s="8">
        <v>27</v>
      </c>
      <c r="R3" s="8">
        <f t="shared" si="0"/>
        <v>90</v>
      </c>
      <c r="S3" s="8" t="s">
        <v>1</v>
      </c>
    </row>
    <row r="4" spans="1:22" ht="21" customHeight="1" x14ac:dyDescent="0.25">
      <c r="G4" s="1"/>
      <c r="H4" s="1"/>
      <c r="L4" s="2" t="s">
        <v>198</v>
      </c>
      <c r="M4" s="2" t="s">
        <v>110</v>
      </c>
      <c r="N4" s="2" t="s">
        <v>109</v>
      </c>
      <c r="O4" s="8">
        <v>80</v>
      </c>
      <c r="P4" s="8">
        <v>56</v>
      </c>
      <c r="Q4" s="8">
        <v>24</v>
      </c>
      <c r="R4" s="8">
        <f t="shared" si="0"/>
        <v>80</v>
      </c>
      <c r="S4" s="8" t="s">
        <v>1</v>
      </c>
    </row>
    <row r="5" spans="1:22" ht="21" customHeight="1" x14ac:dyDescent="0.25">
      <c r="A5" s="84" t="s">
        <v>676</v>
      </c>
      <c r="B5" s="84" t="s">
        <v>681</v>
      </c>
      <c r="C5" s="84"/>
      <c r="D5" s="84"/>
      <c r="E5" s="59"/>
      <c r="L5" s="2" t="s">
        <v>199</v>
      </c>
      <c r="M5" s="2" t="s">
        <v>112</v>
      </c>
      <c r="N5" s="2" t="s">
        <v>111</v>
      </c>
      <c r="O5" s="8">
        <v>70</v>
      </c>
      <c r="P5" s="8">
        <v>49</v>
      </c>
      <c r="Q5" s="8">
        <v>21</v>
      </c>
      <c r="R5" s="8">
        <f t="shared" si="0"/>
        <v>70</v>
      </c>
      <c r="S5" s="8" t="s">
        <v>2</v>
      </c>
    </row>
    <row r="6" spans="1:22" ht="21" customHeight="1" x14ac:dyDescent="0.25">
      <c r="A6" s="84"/>
      <c r="B6" s="84" t="s">
        <v>524</v>
      </c>
      <c r="C6" s="84"/>
      <c r="D6" s="32" t="s">
        <v>525</v>
      </c>
      <c r="L6" s="2" t="s">
        <v>200</v>
      </c>
      <c r="M6" s="2" t="s">
        <v>114</v>
      </c>
      <c r="N6" s="2" t="s">
        <v>113</v>
      </c>
      <c r="O6" s="8">
        <v>60</v>
      </c>
      <c r="P6" s="8">
        <v>42</v>
      </c>
      <c r="Q6" s="8">
        <v>18</v>
      </c>
      <c r="R6" s="8">
        <f t="shared" si="0"/>
        <v>60</v>
      </c>
      <c r="S6" s="8" t="s">
        <v>2</v>
      </c>
    </row>
    <row r="7" spans="1:22" ht="35.25" customHeight="1" x14ac:dyDescent="0.25">
      <c r="A7" s="58" t="s">
        <v>202</v>
      </c>
      <c r="B7" s="90" t="s">
        <v>118</v>
      </c>
      <c r="C7" s="90"/>
      <c r="D7" s="58" t="s">
        <v>115</v>
      </c>
      <c r="G7" s="63" t="s">
        <v>630</v>
      </c>
      <c r="H7" s="63" t="s">
        <v>415</v>
      </c>
      <c r="I7" s="63" t="s">
        <v>416</v>
      </c>
      <c r="L7" s="2" t="s">
        <v>201</v>
      </c>
      <c r="M7" s="2" t="s">
        <v>116</v>
      </c>
      <c r="N7" s="2" t="s">
        <v>115</v>
      </c>
      <c r="O7" s="8">
        <v>50</v>
      </c>
      <c r="P7" s="8">
        <v>35</v>
      </c>
      <c r="Q7" s="8">
        <v>15</v>
      </c>
      <c r="R7" s="8">
        <f t="shared" si="0"/>
        <v>50</v>
      </c>
      <c r="S7" s="8" t="s">
        <v>2</v>
      </c>
    </row>
    <row r="8" spans="1:22" ht="21" customHeight="1" x14ac:dyDescent="0.25">
      <c r="G8" s="7">
        <f>VLOOKUP(A7, L2:O12,4, FALSE)</f>
        <v>40</v>
      </c>
      <c r="H8" s="7">
        <f>VLOOKUP(B7, M2:Q12, 4, FALSE)</f>
        <v>28</v>
      </c>
      <c r="I8" s="7">
        <f>VLOOKUP(D7, N2:Q12, 4, FALSE)</f>
        <v>15</v>
      </c>
      <c r="L8" s="2" t="s">
        <v>202</v>
      </c>
      <c r="M8" s="2" t="s">
        <v>118</v>
      </c>
      <c r="N8" s="2" t="s">
        <v>117</v>
      </c>
      <c r="O8" s="8">
        <v>40</v>
      </c>
      <c r="P8" s="8">
        <v>28</v>
      </c>
      <c r="Q8" s="8">
        <v>12</v>
      </c>
      <c r="R8" s="8">
        <f t="shared" si="0"/>
        <v>40</v>
      </c>
      <c r="S8" s="8" t="s">
        <v>3</v>
      </c>
    </row>
    <row r="9" spans="1:22" ht="21" customHeight="1" x14ac:dyDescent="0.25">
      <c r="L9" s="2" t="s">
        <v>203</v>
      </c>
      <c r="M9" s="2" t="s">
        <v>120</v>
      </c>
      <c r="N9" s="2" t="s">
        <v>119</v>
      </c>
      <c r="O9" s="8">
        <v>30</v>
      </c>
      <c r="P9" s="8">
        <v>21</v>
      </c>
      <c r="Q9" s="8">
        <v>9</v>
      </c>
      <c r="R9" s="8">
        <f t="shared" si="0"/>
        <v>30</v>
      </c>
      <c r="S9" s="8" t="s">
        <v>3</v>
      </c>
    </row>
    <row r="10" spans="1:22" ht="24.75" customHeight="1" x14ac:dyDescent="0.25">
      <c r="A10" s="64" t="s">
        <v>677</v>
      </c>
      <c r="B10" s="65">
        <f>IF(OR(G8=0, H8=0, I8=0), 0, ROUND(0.5*G8 + 0.5*(H8+I8), 0))</f>
        <v>42</v>
      </c>
      <c r="L10" s="2" t="s">
        <v>204</v>
      </c>
      <c r="M10" s="2" t="s">
        <v>122</v>
      </c>
      <c r="N10" s="2" t="s">
        <v>121</v>
      </c>
      <c r="O10" s="8">
        <v>20</v>
      </c>
      <c r="P10" s="8">
        <v>14</v>
      </c>
      <c r="Q10" s="8">
        <v>6</v>
      </c>
      <c r="R10" s="8">
        <f t="shared" si="0"/>
        <v>20</v>
      </c>
      <c r="S10" s="8" t="s">
        <v>3</v>
      </c>
    </row>
    <row r="11" spans="1:22" ht="26.25" customHeight="1" x14ac:dyDescent="0.25">
      <c r="A11" s="64" t="s">
        <v>678</v>
      </c>
      <c r="B11" s="65" t="str">
        <f>IF(AND(B10&gt;=80, B10&lt;=100), "GOOD", IF(AND(B10&gt;40, B10&lt;80), "FAIR", "POOR"))</f>
        <v>FAIR</v>
      </c>
      <c r="C11" s="59"/>
      <c r="D11" s="59"/>
      <c r="H11" s="39"/>
      <c r="L11" s="2" t="s">
        <v>205</v>
      </c>
      <c r="M11" s="2" t="s">
        <v>124</v>
      </c>
      <c r="N11" s="2" t="s">
        <v>123</v>
      </c>
      <c r="O11" s="8">
        <v>10</v>
      </c>
      <c r="P11" s="8">
        <v>7</v>
      </c>
      <c r="Q11" s="8">
        <v>3</v>
      </c>
      <c r="R11" s="8">
        <f t="shared" si="0"/>
        <v>10</v>
      </c>
      <c r="S11" s="8" t="s">
        <v>3</v>
      </c>
    </row>
    <row r="12" spans="1:22" ht="21" customHeight="1" x14ac:dyDescent="0.25">
      <c r="A12" s="42"/>
      <c r="B12" s="7"/>
      <c r="C12" s="7"/>
      <c r="D12" s="42"/>
      <c r="H12" s="7"/>
      <c r="L12" s="2" t="s">
        <v>674</v>
      </c>
      <c r="M12" s="2" t="s">
        <v>126</v>
      </c>
      <c r="N12" s="2" t="s">
        <v>125</v>
      </c>
      <c r="O12" s="8">
        <v>0</v>
      </c>
      <c r="P12" s="8">
        <v>0</v>
      </c>
      <c r="Q12" s="8">
        <v>0</v>
      </c>
      <c r="R12" s="8">
        <f t="shared" si="0"/>
        <v>0</v>
      </c>
      <c r="S12" s="8" t="s">
        <v>3</v>
      </c>
    </row>
    <row r="14" spans="1:22" ht="24.95" customHeight="1" x14ac:dyDescent="0.25">
      <c r="A14" s="49" t="s">
        <v>679</v>
      </c>
      <c r="B14" s="49"/>
      <c r="C14" s="49"/>
      <c r="D14" s="49"/>
      <c r="E14" s="49"/>
    </row>
    <row r="15" spans="1:22" x14ac:dyDescent="0.25">
      <c r="G15" s="63" t="s">
        <v>415</v>
      </c>
      <c r="H15" s="63" t="s">
        <v>416</v>
      </c>
    </row>
    <row r="16" spans="1:22" ht="26.25" customHeight="1" x14ac:dyDescent="0.25">
      <c r="A16" s="82" t="s">
        <v>681</v>
      </c>
      <c r="B16" s="83"/>
      <c r="C16" s="67"/>
      <c r="D16" s="67"/>
      <c r="E16" s="67"/>
      <c r="G16" s="7">
        <f>VLOOKUP(A18, M2:P12, 4, FALSE)</f>
        <v>70</v>
      </c>
      <c r="H16" s="7">
        <f>VLOOKUP(B18, N2:Q12, 4, FALSE)</f>
        <v>30</v>
      </c>
    </row>
    <row r="17" spans="1:8" ht="30" x14ac:dyDescent="0.25">
      <c r="A17" s="66" t="s">
        <v>524</v>
      </c>
      <c r="B17" s="66" t="s">
        <v>525</v>
      </c>
      <c r="C17" s="67"/>
      <c r="G17" s="39"/>
      <c r="H17" s="39"/>
    </row>
    <row r="18" spans="1:8" ht="24.75" customHeight="1" x14ac:dyDescent="0.25">
      <c r="A18" s="17" t="s">
        <v>0</v>
      </c>
      <c r="B18" s="17" t="s">
        <v>0</v>
      </c>
      <c r="C18" s="27"/>
      <c r="D18" s="42"/>
      <c r="G18" s="7"/>
      <c r="H18" s="7"/>
    </row>
    <row r="20" spans="1:8" ht="25.5" customHeight="1" x14ac:dyDescent="0.25">
      <c r="A20" s="64" t="s">
        <v>677</v>
      </c>
      <c r="B20" s="65">
        <f>IF(OR(G16=0,H16=0),0,G16+H16)</f>
        <v>100</v>
      </c>
    </row>
    <row r="21" spans="1:8" ht="24" customHeight="1" x14ac:dyDescent="0.25">
      <c r="A21" s="64" t="s">
        <v>678</v>
      </c>
      <c r="B21" s="65" t="str">
        <f>IF(AND(B20&gt;=80, B20&lt;=100), "GOOD", IF(AND(B20&gt;40, B20&lt;80), "FAIR", "POOR"))</f>
        <v>GOOD</v>
      </c>
    </row>
    <row r="22" spans="1:8" ht="15" customHeight="1" x14ac:dyDescent="0.25"/>
  </sheetData>
  <autoFilter ref="L1:V1" xr:uid="{18CAC5E2-F055-473B-A03C-461D3B5A75A8}">
    <sortState xmlns:xlrd2="http://schemas.microsoft.com/office/spreadsheetml/2017/richdata2" ref="L2:V12">
      <sortCondition descending="1" ref="R1"/>
    </sortState>
  </autoFilter>
  <mergeCells count="7">
    <mergeCell ref="A16:B16"/>
    <mergeCell ref="A1:D1"/>
    <mergeCell ref="A3:D3"/>
    <mergeCell ref="A5:A6"/>
    <mergeCell ref="B7:C7"/>
    <mergeCell ref="B5:D5"/>
    <mergeCell ref="B6:C6"/>
  </mergeCells>
  <dataValidations count="6">
    <dataValidation type="list" allowBlank="1" showInputMessage="1" showErrorMessage="1" sqref="A18 B7:C7" xr:uid="{B3768177-95E9-437F-96E1-60387490B879}">
      <formula1>$M$2:$M$12</formula1>
    </dataValidation>
    <dataValidation type="list" allowBlank="1" showInputMessage="1" showErrorMessage="1" sqref="C12" xr:uid="{A3F6EDD9-98A0-4E51-8AC3-5E94C8D6AB21}">
      <formula1>$Y$2:$Y$29</formula1>
    </dataValidation>
    <dataValidation type="list" allowBlank="1" showInputMessage="1" showErrorMessage="1" sqref="A12" xr:uid="{21E3BE6F-2B1E-40B7-BDE1-8C255FE73BB2}">
      <formula1>$W$2:$W$29</formula1>
    </dataValidation>
    <dataValidation type="list" allowBlank="1" showInputMessage="1" showErrorMessage="1" sqref="B12" xr:uid="{A95C3527-FDF1-49DE-B503-1599F84CBA58}">
      <formula1>$X$2:$X$29</formula1>
    </dataValidation>
    <dataValidation type="list" allowBlank="1" showInputMessage="1" showErrorMessage="1" sqref="A7" xr:uid="{E0AB5CB9-AF40-45A8-9218-005D91146A25}">
      <formula1>$L$2:$L$12</formula1>
    </dataValidation>
    <dataValidation type="list" allowBlank="1" showInputMessage="1" showErrorMessage="1" sqref="D7 B18" xr:uid="{5B8BDEB7-4B57-4648-BE65-B842F2C7C309}">
      <formula1>$N$2:$N$12</formula1>
    </dataValidation>
  </dataValidation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1ACC49-FA00-4373-89A7-132233974C90}">
  <sheetPr>
    <tabColor rgb="FF92D050"/>
  </sheetPr>
  <dimension ref="A1:K12"/>
  <sheetViews>
    <sheetView workbookViewId="0">
      <selection sqref="A1:D8"/>
    </sheetView>
  </sheetViews>
  <sheetFormatPr defaultRowHeight="15" x14ac:dyDescent="0.25"/>
  <cols>
    <col min="1" max="1" width="35.42578125" bestFit="1" customWidth="1"/>
    <col min="2" max="2" width="43.42578125" customWidth="1"/>
    <col min="8" max="8" width="113.85546875" bestFit="1" customWidth="1"/>
    <col min="9" max="9" width="19.7109375" bestFit="1" customWidth="1"/>
    <col min="10" max="10" width="10" bestFit="1" customWidth="1"/>
    <col min="11" max="11" width="10.28515625" style="1" bestFit="1" customWidth="1"/>
  </cols>
  <sheetData>
    <row r="1" spans="1:11" s="1" customFormat="1" ht="24" x14ac:dyDescent="0.4">
      <c r="A1" s="78" t="s">
        <v>684</v>
      </c>
      <c r="B1" s="78"/>
      <c r="C1"/>
      <c r="D1"/>
      <c r="E1"/>
      <c r="H1" s="16" t="s">
        <v>9</v>
      </c>
      <c r="I1" s="16" t="s">
        <v>7</v>
      </c>
      <c r="J1" s="16" t="s">
        <v>104</v>
      </c>
      <c r="K1" s="16" t="s">
        <v>4</v>
      </c>
    </row>
    <row r="2" spans="1:11" x14ac:dyDescent="0.25">
      <c r="H2" s="17" t="s">
        <v>0</v>
      </c>
      <c r="I2" s="8">
        <v>100</v>
      </c>
      <c r="J2" s="8">
        <f t="shared" ref="J2:J12" si="0">I2</f>
        <v>100</v>
      </c>
      <c r="K2" s="8" t="s">
        <v>1</v>
      </c>
    </row>
    <row r="3" spans="1:11" x14ac:dyDescent="0.25">
      <c r="A3" s="16" t="s">
        <v>438</v>
      </c>
      <c r="B3" s="14"/>
      <c r="D3" s="39" t="s">
        <v>428</v>
      </c>
      <c r="E3" s="39"/>
      <c r="H3" s="17" t="s">
        <v>207</v>
      </c>
      <c r="I3" s="8">
        <v>90</v>
      </c>
      <c r="J3" s="8">
        <f t="shared" si="0"/>
        <v>90</v>
      </c>
      <c r="K3" s="8" t="s">
        <v>1</v>
      </c>
    </row>
    <row r="4" spans="1:11" x14ac:dyDescent="0.25">
      <c r="A4" s="58" t="s">
        <v>0</v>
      </c>
      <c r="B4" s="42"/>
      <c r="D4" s="1">
        <f>VLOOKUP(A4, H2:J12, 3,FALSE)</f>
        <v>100</v>
      </c>
      <c r="E4" s="1"/>
      <c r="H4" s="17" t="s">
        <v>208</v>
      </c>
      <c r="I4" s="8">
        <v>80</v>
      </c>
      <c r="J4" s="8">
        <f t="shared" si="0"/>
        <v>80</v>
      </c>
      <c r="K4" s="8" t="s">
        <v>1</v>
      </c>
    </row>
    <row r="5" spans="1:11" x14ac:dyDescent="0.25">
      <c r="H5" s="17" t="s">
        <v>209</v>
      </c>
      <c r="I5" s="8">
        <v>70</v>
      </c>
      <c r="J5" s="8">
        <f t="shared" si="0"/>
        <v>70</v>
      </c>
      <c r="K5" s="8" t="s">
        <v>2</v>
      </c>
    </row>
    <row r="6" spans="1:11" x14ac:dyDescent="0.25">
      <c r="H6" s="17" t="s">
        <v>210</v>
      </c>
      <c r="I6" s="8">
        <v>60</v>
      </c>
      <c r="J6" s="8">
        <f t="shared" si="0"/>
        <v>60</v>
      </c>
      <c r="K6" s="8" t="s">
        <v>2</v>
      </c>
    </row>
    <row r="7" spans="1:11" x14ac:dyDescent="0.25">
      <c r="A7" s="44" t="s">
        <v>685</v>
      </c>
      <c r="B7" s="44">
        <f>D4</f>
        <v>100</v>
      </c>
      <c r="H7" s="17" t="s">
        <v>211</v>
      </c>
      <c r="I7" s="8">
        <v>50</v>
      </c>
      <c r="J7" s="8">
        <f t="shared" si="0"/>
        <v>50</v>
      </c>
      <c r="K7" s="8" t="s">
        <v>2</v>
      </c>
    </row>
    <row r="8" spans="1:11" x14ac:dyDescent="0.25">
      <c r="A8" s="44" t="s">
        <v>686</v>
      </c>
      <c r="B8" s="44" t="str">
        <f>IF(AND(B7&gt;=80, B7&lt;=100), "GOOD", IF(AND(B7&gt;40, B7&lt;80), "FAIR", "POOR"))</f>
        <v>GOOD</v>
      </c>
      <c r="H8" s="17" t="s">
        <v>212</v>
      </c>
      <c r="I8" s="8">
        <v>40</v>
      </c>
      <c r="J8" s="8">
        <f t="shared" si="0"/>
        <v>40</v>
      </c>
      <c r="K8" s="8" t="s">
        <v>3</v>
      </c>
    </row>
    <row r="9" spans="1:11" x14ac:dyDescent="0.25">
      <c r="H9" s="17" t="s">
        <v>213</v>
      </c>
      <c r="I9" s="8">
        <v>30</v>
      </c>
      <c r="J9" s="8">
        <f t="shared" si="0"/>
        <v>30</v>
      </c>
      <c r="K9" s="8" t="s">
        <v>3</v>
      </c>
    </row>
    <row r="10" spans="1:11" x14ac:dyDescent="0.25">
      <c r="H10" s="17" t="s">
        <v>214</v>
      </c>
      <c r="I10" s="8">
        <v>20</v>
      </c>
      <c r="J10" s="8">
        <f t="shared" si="0"/>
        <v>20</v>
      </c>
      <c r="K10" s="8" t="s">
        <v>3</v>
      </c>
    </row>
    <row r="11" spans="1:11" x14ac:dyDescent="0.25">
      <c r="H11" s="17" t="s">
        <v>215</v>
      </c>
      <c r="I11" s="8">
        <v>10</v>
      </c>
      <c r="J11" s="8">
        <f t="shared" si="0"/>
        <v>10</v>
      </c>
      <c r="K11" s="8" t="s">
        <v>3</v>
      </c>
    </row>
    <row r="12" spans="1:11" ht="30" x14ac:dyDescent="0.25">
      <c r="H12" s="17" t="s">
        <v>216</v>
      </c>
      <c r="I12" s="8">
        <v>0</v>
      </c>
      <c r="J12" s="8">
        <f t="shared" si="0"/>
        <v>0</v>
      </c>
      <c r="K12" s="8" t="s">
        <v>3</v>
      </c>
    </row>
  </sheetData>
  <autoFilter ref="H1:K1" xr:uid="{CE1ACC49-FA00-4373-89A7-132233974C90}">
    <sortState xmlns:xlrd2="http://schemas.microsoft.com/office/spreadsheetml/2017/richdata2" ref="H2:K12">
      <sortCondition descending="1" ref="J1"/>
    </sortState>
  </autoFilter>
  <mergeCells count="1">
    <mergeCell ref="A1:B1"/>
  </mergeCells>
  <dataValidations count="2">
    <dataValidation type="list" allowBlank="1" showInputMessage="1" showErrorMessage="1" sqref="A4" xr:uid="{D1EC1F79-A029-45FA-9783-BE5E86FEF1FB}">
      <formula1>$H$2:$H$12</formula1>
    </dataValidation>
    <dataValidation type="list" allowBlank="1" showInputMessage="1" showErrorMessage="1" sqref="A5" xr:uid="{7001737B-61F1-4BB6-BA7A-A303959C8973}">
      <formula1>$K$4:$K$12</formula1>
    </dataValidation>
  </dataValidation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AB1C43-BFE9-439A-A64C-1F940566172D}">
  <sheetPr>
    <tabColor rgb="FF92D050"/>
  </sheetPr>
  <dimension ref="A1:S12"/>
  <sheetViews>
    <sheetView zoomScale="80" zoomScaleNormal="80" workbookViewId="0">
      <selection sqref="A1:I8"/>
    </sheetView>
  </sheetViews>
  <sheetFormatPr defaultRowHeight="15" x14ac:dyDescent="0.25"/>
  <cols>
    <col min="1" max="1" width="38.7109375" customWidth="1"/>
    <col min="2" max="2" width="40.5703125" customWidth="1"/>
    <col min="3" max="3" width="37.140625" bestFit="1" customWidth="1"/>
    <col min="4" max="4" width="30.7109375" bestFit="1" customWidth="1"/>
    <col min="10" max="10" width="40.140625" style="27" customWidth="1"/>
    <col min="11" max="11" width="40" style="27" bestFit="1" customWidth="1"/>
    <col min="12" max="12" width="40.140625" style="27" customWidth="1"/>
    <col min="13" max="13" width="27.28515625" style="27" bestFit="1" customWidth="1"/>
    <col min="14" max="14" width="20.42578125" style="27" bestFit="1" customWidth="1"/>
    <col min="15" max="15" width="31.42578125" style="27" bestFit="1" customWidth="1"/>
    <col min="16" max="16" width="22.5703125" style="27" bestFit="1" customWidth="1"/>
    <col min="17" max="17" width="17" style="27" bestFit="1" customWidth="1"/>
    <col min="18" max="18" width="31" bestFit="1" customWidth="1"/>
    <col min="19" max="19" width="10.5703125" bestFit="1" customWidth="1"/>
  </cols>
  <sheetData>
    <row r="1" spans="1:19" s="15" customFormat="1" ht="38.25" customHeight="1" x14ac:dyDescent="0.25">
      <c r="A1" s="91" t="s">
        <v>695</v>
      </c>
      <c r="B1" s="91"/>
      <c r="C1" s="91"/>
      <c r="D1" s="91"/>
      <c r="E1"/>
      <c r="F1"/>
      <c r="G1"/>
      <c r="J1" s="32" t="s">
        <v>222</v>
      </c>
      <c r="K1" s="32" t="s">
        <v>383</v>
      </c>
      <c r="L1" s="32" t="s">
        <v>384</v>
      </c>
      <c r="M1" s="32" t="s">
        <v>385</v>
      </c>
      <c r="N1" s="32" t="s">
        <v>158</v>
      </c>
      <c r="O1" s="32" t="s">
        <v>407</v>
      </c>
      <c r="P1" s="32" t="s">
        <v>408</v>
      </c>
      <c r="Q1" s="32" t="s">
        <v>409</v>
      </c>
      <c r="R1" s="16" t="s">
        <v>411</v>
      </c>
      <c r="S1" s="16" t="s">
        <v>4</v>
      </c>
    </row>
    <row r="2" spans="1:19" s="15" customFormat="1" x14ac:dyDescent="0.25">
      <c r="A2"/>
      <c r="B2"/>
      <c r="C2"/>
      <c r="D2"/>
      <c r="E2"/>
      <c r="F2"/>
      <c r="G2"/>
      <c r="J2" s="17" t="s">
        <v>0</v>
      </c>
      <c r="K2" s="17" t="s">
        <v>0</v>
      </c>
      <c r="L2" s="17" t="s">
        <v>0</v>
      </c>
      <c r="M2" s="17" t="s">
        <v>0</v>
      </c>
      <c r="N2" s="8">
        <v>100</v>
      </c>
      <c r="O2" s="8">
        <v>70</v>
      </c>
      <c r="P2" s="8">
        <v>30</v>
      </c>
      <c r="Q2" s="8">
        <v>100</v>
      </c>
      <c r="R2" s="8">
        <f t="shared" ref="R2:R12" si="0">0.4*N2+0.3*(O2+P2)+0.3*Q2</f>
        <v>100</v>
      </c>
      <c r="S2" s="8" t="s">
        <v>1</v>
      </c>
    </row>
    <row r="3" spans="1:19" ht="30" x14ac:dyDescent="0.25">
      <c r="A3" s="87" t="s">
        <v>689</v>
      </c>
      <c r="B3" s="87" t="s">
        <v>692</v>
      </c>
      <c r="C3" s="87"/>
      <c r="D3" s="87" t="s">
        <v>691</v>
      </c>
      <c r="F3" s="39" t="s">
        <v>428</v>
      </c>
      <c r="G3" s="39" t="s">
        <v>428</v>
      </c>
      <c r="H3" s="39" t="s">
        <v>429</v>
      </c>
      <c r="I3" s="39" t="s">
        <v>693</v>
      </c>
      <c r="J3" s="28" t="s">
        <v>224</v>
      </c>
      <c r="K3" s="28" t="s">
        <v>395</v>
      </c>
      <c r="L3" s="28" t="s">
        <v>81</v>
      </c>
      <c r="M3" s="28" t="s">
        <v>396</v>
      </c>
      <c r="N3" s="8">
        <v>90</v>
      </c>
      <c r="O3" s="8">
        <v>63</v>
      </c>
      <c r="P3" s="8">
        <v>27</v>
      </c>
      <c r="Q3" s="8">
        <v>90</v>
      </c>
      <c r="R3" s="8">
        <f t="shared" si="0"/>
        <v>90</v>
      </c>
      <c r="S3" s="8" t="s">
        <v>1</v>
      </c>
    </row>
    <row r="4" spans="1:19" ht="30" x14ac:dyDescent="0.25">
      <c r="A4" s="87"/>
      <c r="B4" s="16" t="s">
        <v>690</v>
      </c>
      <c r="C4" s="16" t="s">
        <v>437</v>
      </c>
      <c r="D4" s="87"/>
      <c r="F4" s="7">
        <f>VLOOKUP(A5, J2:N12, 5,FALSE)</f>
        <v>100</v>
      </c>
      <c r="G4" s="7">
        <f>VLOOKUP(B5, K2:O12, 5, FALSE)</f>
        <v>70</v>
      </c>
      <c r="H4" s="7">
        <f>VLOOKUP(C5, L2:P12, 5, FALSE)</f>
        <v>30</v>
      </c>
      <c r="I4" s="7">
        <f>VLOOKUP(D5, M2:Q12, 5, FALSE)</f>
        <v>100</v>
      </c>
      <c r="J4" s="28" t="s">
        <v>225</v>
      </c>
      <c r="K4" s="28" t="s">
        <v>394</v>
      </c>
      <c r="L4" s="28" t="s">
        <v>82</v>
      </c>
      <c r="M4" s="28" t="s">
        <v>397</v>
      </c>
      <c r="N4" s="8">
        <v>80</v>
      </c>
      <c r="O4" s="8">
        <v>56</v>
      </c>
      <c r="P4" s="8">
        <v>24</v>
      </c>
      <c r="Q4" s="8">
        <v>80</v>
      </c>
      <c r="R4" s="8">
        <f t="shared" si="0"/>
        <v>80</v>
      </c>
      <c r="S4" s="8" t="s">
        <v>1</v>
      </c>
    </row>
    <row r="5" spans="1:19" ht="30" x14ac:dyDescent="0.25">
      <c r="A5" s="58" t="s">
        <v>0</v>
      </c>
      <c r="B5" s="58" t="s">
        <v>0</v>
      </c>
      <c r="C5" s="8" t="s">
        <v>0</v>
      </c>
      <c r="D5" s="8" t="s">
        <v>0</v>
      </c>
      <c r="J5" s="28" t="s">
        <v>223</v>
      </c>
      <c r="K5" s="28" t="s">
        <v>393</v>
      </c>
      <c r="L5" s="28" t="s">
        <v>83</v>
      </c>
      <c r="M5" s="28" t="s">
        <v>398</v>
      </c>
      <c r="N5" s="8">
        <v>70</v>
      </c>
      <c r="O5" s="8">
        <v>49</v>
      </c>
      <c r="P5" s="8">
        <v>21</v>
      </c>
      <c r="Q5" s="8">
        <v>70</v>
      </c>
      <c r="R5" s="8">
        <f t="shared" si="0"/>
        <v>70</v>
      </c>
      <c r="S5" s="8" t="s">
        <v>2</v>
      </c>
    </row>
    <row r="6" spans="1:19" ht="30" x14ac:dyDescent="0.25">
      <c r="J6" s="28" t="s">
        <v>226</v>
      </c>
      <c r="K6" s="28" t="s">
        <v>392</v>
      </c>
      <c r="L6" s="28" t="s">
        <v>84</v>
      </c>
      <c r="M6" s="28" t="s">
        <v>399</v>
      </c>
      <c r="N6" s="8">
        <v>60</v>
      </c>
      <c r="O6" s="8">
        <v>42</v>
      </c>
      <c r="P6" s="8">
        <v>18</v>
      </c>
      <c r="Q6" s="8">
        <v>60</v>
      </c>
      <c r="R6" s="8">
        <f t="shared" si="0"/>
        <v>60</v>
      </c>
      <c r="S6" s="8" t="s">
        <v>2</v>
      </c>
    </row>
    <row r="7" spans="1:19" ht="30" x14ac:dyDescent="0.25">
      <c r="A7" s="65" t="s">
        <v>696</v>
      </c>
      <c r="B7" s="65">
        <f>IF(OR(F4=0, G4=0, I4=0), 0, ROUND(0.4*F4 + 0.3*(G4+H4) + 0.3*I4, 0))</f>
        <v>100</v>
      </c>
      <c r="J7" s="28" t="s">
        <v>227</v>
      </c>
      <c r="K7" s="28" t="s">
        <v>391</v>
      </c>
      <c r="L7" s="28" t="s">
        <v>85</v>
      </c>
      <c r="M7" s="28" t="s">
        <v>400</v>
      </c>
      <c r="N7" s="8">
        <v>50</v>
      </c>
      <c r="O7" s="8">
        <v>35</v>
      </c>
      <c r="P7" s="8">
        <v>15</v>
      </c>
      <c r="Q7" s="8">
        <v>50</v>
      </c>
      <c r="R7" s="8">
        <f t="shared" si="0"/>
        <v>50</v>
      </c>
      <c r="S7" s="8" t="s">
        <v>2</v>
      </c>
    </row>
    <row r="8" spans="1:19" ht="30" x14ac:dyDescent="0.25">
      <c r="A8" s="65" t="s">
        <v>697</v>
      </c>
      <c r="B8" s="65" t="str">
        <f>IF(AND(B7&gt;=80, B7&lt;=100), "GOOD", IF(AND(B7&gt;40, B7&lt;80), "FAIR", "POOR"))</f>
        <v>GOOD</v>
      </c>
      <c r="J8" s="28" t="s">
        <v>228</v>
      </c>
      <c r="K8" s="28" t="s">
        <v>390</v>
      </c>
      <c r="L8" s="28" t="s">
        <v>86</v>
      </c>
      <c r="M8" s="28" t="s">
        <v>401</v>
      </c>
      <c r="N8" s="8">
        <v>40</v>
      </c>
      <c r="O8" s="8">
        <v>28</v>
      </c>
      <c r="P8" s="8">
        <v>12</v>
      </c>
      <c r="Q8" s="8">
        <v>40</v>
      </c>
      <c r="R8" s="8">
        <f t="shared" si="0"/>
        <v>40</v>
      </c>
      <c r="S8" s="8" t="s">
        <v>3</v>
      </c>
    </row>
    <row r="9" spans="1:19" ht="30" x14ac:dyDescent="0.25">
      <c r="J9" s="28" t="s">
        <v>232</v>
      </c>
      <c r="K9" s="28" t="s">
        <v>389</v>
      </c>
      <c r="L9" s="28" t="s">
        <v>87</v>
      </c>
      <c r="M9" s="28" t="s">
        <v>402</v>
      </c>
      <c r="N9" s="8">
        <v>30</v>
      </c>
      <c r="O9" s="8">
        <v>21</v>
      </c>
      <c r="P9" s="8">
        <v>9</v>
      </c>
      <c r="Q9" s="8">
        <v>30</v>
      </c>
      <c r="R9" s="8">
        <f t="shared" si="0"/>
        <v>30</v>
      </c>
      <c r="S9" s="8" t="s">
        <v>3</v>
      </c>
    </row>
    <row r="10" spans="1:19" ht="30" x14ac:dyDescent="0.25">
      <c r="J10" s="28" t="s">
        <v>231</v>
      </c>
      <c r="K10" s="28" t="s">
        <v>388</v>
      </c>
      <c r="L10" s="28" t="s">
        <v>88</v>
      </c>
      <c r="M10" s="28" t="s">
        <v>403</v>
      </c>
      <c r="N10" s="8">
        <v>20</v>
      </c>
      <c r="O10" s="8">
        <v>14</v>
      </c>
      <c r="P10" s="8">
        <v>6</v>
      </c>
      <c r="Q10" s="8">
        <v>20</v>
      </c>
      <c r="R10" s="8">
        <f t="shared" si="0"/>
        <v>20</v>
      </c>
      <c r="S10" s="8" t="s">
        <v>3</v>
      </c>
    </row>
    <row r="11" spans="1:19" ht="30" x14ac:dyDescent="0.25">
      <c r="J11" s="28" t="s">
        <v>230</v>
      </c>
      <c r="K11" s="28" t="s">
        <v>387</v>
      </c>
      <c r="L11" s="28" t="s">
        <v>405</v>
      </c>
      <c r="M11" s="28" t="s">
        <v>404</v>
      </c>
      <c r="N11" s="8">
        <v>10</v>
      </c>
      <c r="O11" s="8">
        <v>7</v>
      </c>
      <c r="P11" s="8">
        <v>3</v>
      </c>
      <c r="Q11" s="8">
        <v>10</v>
      </c>
      <c r="R11" s="8">
        <f t="shared" si="0"/>
        <v>10</v>
      </c>
      <c r="S11" s="8" t="s">
        <v>3</v>
      </c>
    </row>
    <row r="12" spans="1:19" ht="45" x14ac:dyDescent="0.25">
      <c r="J12" s="28" t="s">
        <v>229</v>
      </c>
      <c r="K12" s="28" t="s">
        <v>688</v>
      </c>
      <c r="L12" s="28" t="s">
        <v>90</v>
      </c>
      <c r="M12" s="28" t="s">
        <v>406</v>
      </c>
      <c r="N12" s="8">
        <v>0</v>
      </c>
      <c r="O12" s="8">
        <v>0</v>
      </c>
      <c r="P12" s="8">
        <v>0</v>
      </c>
      <c r="Q12" s="8">
        <v>0</v>
      </c>
      <c r="R12" s="8">
        <f t="shared" si="0"/>
        <v>0</v>
      </c>
      <c r="S12" s="8" t="s">
        <v>3</v>
      </c>
    </row>
  </sheetData>
  <autoFilter ref="J1:S1" xr:uid="{8CAB1C43-BFE9-439A-A64C-1F940566172D}">
    <sortState xmlns:xlrd2="http://schemas.microsoft.com/office/spreadsheetml/2017/richdata2" ref="J2:S12">
      <sortCondition descending="1" ref="R1"/>
    </sortState>
  </autoFilter>
  <mergeCells count="4">
    <mergeCell ref="B3:C3"/>
    <mergeCell ref="D3:D4"/>
    <mergeCell ref="A3:A4"/>
    <mergeCell ref="A1:D1"/>
  </mergeCells>
  <dataValidations disablePrompts="1" count="4">
    <dataValidation type="list" allowBlank="1" showInputMessage="1" showErrorMessage="1" sqref="B5" xr:uid="{B6C0857E-8690-48BE-9FAE-36F85AB16E9B}">
      <formula1>$K$2:$K$12</formula1>
    </dataValidation>
    <dataValidation type="list" allowBlank="1" showInputMessage="1" showErrorMessage="1" sqref="A5" xr:uid="{BB6094ED-445D-4D4B-B2FC-A7FA1AD3F869}">
      <formula1>$J$2:$J$12</formula1>
    </dataValidation>
    <dataValidation type="list" allowBlank="1" showInputMessage="1" showErrorMessage="1" sqref="C5" xr:uid="{52876A07-2537-460D-AC15-277DBE3AA108}">
      <formula1>$L$2:$L$12</formula1>
    </dataValidation>
    <dataValidation type="list" allowBlank="1" showInputMessage="1" showErrorMessage="1" sqref="D5" xr:uid="{82C58587-4803-4373-8E28-56EBD46CCF37}">
      <formula1>$M$2:$M$12</formula1>
    </dataValidation>
  </dataValidation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65720B-7692-4BA9-8447-196DF06545B3}">
  <dimension ref="A1:F12"/>
  <sheetViews>
    <sheetView workbookViewId="0">
      <selection activeCell="K27" sqref="K27"/>
    </sheetView>
  </sheetViews>
  <sheetFormatPr defaultRowHeight="15" x14ac:dyDescent="0.25"/>
  <cols>
    <col min="1" max="1" width="23.85546875" bestFit="1" customWidth="1"/>
    <col min="2" max="2" width="34.28515625" bestFit="1" customWidth="1"/>
    <col min="3" max="3" width="18.140625" bestFit="1" customWidth="1"/>
    <col min="4" max="4" width="18.85546875" bestFit="1" customWidth="1"/>
    <col min="5" max="5" width="10.140625" bestFit="1" customWidth="1"/>
    <col min="6" max="6" width="10.28515625" bestFit="1" customWidth="1"/>
  </cols>
  <sheetData>
    <row r="1" spans="1:6" x14ac:dyDescent="0.25">
      <c r="A1" s="16" t="s">
        <v>80</v>
      </c>
      <c r="B1" s="16" t="s">
        <v>79</v>
      </c>
      <c r="C1" s="6" t="s">
        <v>102</v>
      </c>
      <c r="D1" s="6" t="s">
        <v>103</v>
      </c>
      <c r="E1" s="6" t="s">
        <v>105</v>
      </c>
      <c r="F1" s="5" t="s">
        <v>4</v>
      </c>
    </row>
    <row r="2" spans="1:6" x14ac:dyDescent="0.25">
      <c r="A2" s="4" t="s">
        <v>126</v>
      </c>
      <c r="B2" s="4" t="s">
        <v>125</v>
      </c>
      <c r="C2" s="3">
        <f t="shared" ref="C2:C12" si="0">E2*0.7</f>
        <v>0</v>
      </c>
      <c r="D2" s="3">
        <f t="shared" ref="D2:D12" si="1">E2*0.3</f>
        <v>0</v>
      </c>
      <c r="E2" s="3">
        <v>0</v>
      </c>
      <c r="F2" s="3" t="s">
        <v>3</v>
      </c>
    </row>
    <row r="3" spans="1:6" x14ac:dyDescent="0.25">
      <c r="A3" s="4" t="s">
        <v>124</v>
      </c>
      <c r="B3" s="4" t="s">
        <v>123</v>
      </c>
      <c r="C3" s="3">
        <f t="shared" si="0"/>
        <v>7</v>
      </c>
      <c r="D3" s="3">
        <f t="shared" si="1"/>
        <v>3</v>
      </c>
      <c r="E3" s="3">
        <v>10</v>
      </c>
      <c r="F3" s="3" t="s">
        <v>3</v>
      </c>
    </row>
    <row r="4" spans="1:6" x14ac:dyDescent="0.25">
      <c r="A4" s="4" t="s">
        <v>122</v>
      </c>
      <c r="B4" s="4" t="s">
        <v>121</v>
      </c>
      <c r="C4" s="3">
        <f t="shared" si="0"/>
        <v>14</v>
      </c>
      <c r="D4" s="3">
        <f t="shared" si="1"/>
        <v>6</v>
      </c>
      <c r="E4" s="3">
        <v>20</v>
      </c>
      <c r="F4" s="3" t="s">
        <v>3</v>
      </c>
    </row>
    <row r="5" spans="1:6" x14ac:dyDescent="0.25">
      <c r="A5" s="4" t="s">
        <v>120</v>
      </c>
      <c r="B5" s="4" t="s">
        <v>119</v>
      </c>
      <c r="C5" s="3">
        <f t="shared" si="0"/>
        <v>21</v>
      </c>
      <c r="D5" s="3">
        <f t="shared" si="1"/>
        <v>9</v>
      </c>
      <c r="E5" s="3">
        <v>30</v>
      </c>
      <c r="F5" s="3" t="s">
        <v>3</v>
      </c>
    </row>
    <row r="6" spans="1:6" x14ac:dyDescent="0.25">
      <c r="A6" s="4" t="s">
        <v>118</v>
      </c>
      <c r="B6" s="4" t="s">
        <v>117</v>
      </c>
      <c r="C6" s="3">
        <f t="shared" si="0"/>
        <v>28</v>
      </c>
      <c r="D6" s="3">
        <f t="shared" si="1"/>
        <v>12</v>
      </c>
      <c r="E6" s="3">
        <v>40</v>
      </c>
      <c r="F6" s="3" t="s">
        <v>3</v>
      </c>
    </row>
    <row r="7" spans="1:6" x14ac:dyDescent="0.25">
      <c r="A7" s="4" t="s">
        <v>116</v>
      </c>
      <c r="B7" s="4" t="s">
        <v>115</v>
      </c>
      <c r="C7" s="3">
        <f t="shared" si="0"/>
        <v>35</v>
      </c>
      <c r="D7" s="3">
        <f t="shared" si="1"/>
        <v>15</v>
      </c>
      <c r="E7" s="3">
        <v>50</v>
      </c>
      <c r="F7" s="3" t="s">
        <v>2</v>
      </c>
    </row>
    <row r="8" spans="1:6" x14ac:dyDescent="0.25">
      <c r="A8" s="4" t="s">
        <v>114</v>
      </c>
      <c r="B8" s="4" t="s">
        <v>113</v>
      </c>
      <c r="C8" s="3">
        <f t="shared" si="0"/>
        <v>42</v>
      </c>
      <c r="D8" s="3">
        <f t="shared" si="1"/>
        <v>18</v>
      </c>
      <c r="E8" s="3">
        <v>60</v>
      </c>
      <c r="F8" s="3" t="s">
        <v>2</v>
      </c>
    </row>
    <row r="9" spans="1:6" x14ac:dyDescent="0.25">
      <c r="A9" s="4" t="s">
        <v>112</v>
      </c>
      <c r="B9" s="4" t="s">
        <v>111</v>
      </c>
      <c r="C9" s="3">
        <f t="shared" si="0"/>
        <v>49</v>
      </c>
      <c r="D9" s="3">
        <f t="shared" si="1"/>
        <v>21</v>
      </c>
      <c r="E9" s="3">
        <v>70</v>
      </c>
      <c r="F9" s="3" t="s">
        <v>2</v>
      </c>
    </row>
    <row r="10" spans="1:6" x14ac:dyDescent="0.25">
      <c r="A10" s="4" t="s">
        <v>110</v>
      </c>
      <c r="B10" s="4" t="s">
        <v>109</v>
      </c>
      <c r="C10" s="3">
        <f t="shared" si="0"/>
        <v>56</v>
      </c>
      <c r="D10" s="3">
        <f t="shared" si="1"/>
        <v>24</v>
      </c>
      <c r="E10" s="3">
        <v>80</v>
      </c>
      <c r="F10" s="3" t="s">
        <v>1</v>
      </c>
    </row>
    <row r="11" spans="1:6" x14ac:dyDescent="0.25">
      <c r="A11" s="4" t="s">
        <v>108</v>
      </c>
      <c r="B11" s="4" t="s">
        <v>107</v>
      </c>
      <c r="C11" s="3">
        <f t="shared" si="0"/>
        <v>62.999999999999993</v>
      </c>
      <c r="D11" s="3">
        <f t="shared" si="1"/>
        <v>27</v>
      </c>
      <c r="E11" s="3">
        <v>90</v>
      </c>
      <c r="F11" s="3" t="s">
        <v>1</v>
      </c>
    </row>
    <row r="12" spans="1:6" x14ac:dyDescent="0.25">
      <c r="A12" s="4" t="s">
        <v>0</v>
      </c>
      <c r="B12" s="4" t="s">
        <v>0</v>
      </c>
      <c r="C12" s="3">
        <f t="shared" si="0"/>
        <v>70</v>
      </c>
      <c r="D12" s="3">
        <f t="shared" si="1"/>
        <v>30</v>
      </c>
      <c r="E12" s="3">
        <v>100</v>
      </c>
      <c r="F12" s="3" t="s">
        <v>1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8EAE1A-165E-4871-932C-70DFA42395E0}">
  <dimension ref="A1:J22"/>
  <sheetViews>
    <sheetView workbookViewId="0">
      <selection activeCell="B1" sqref="B1"/>
    </sheetView>
  </sheetViews>
  <sheetFormatPr defaultRowHeight="15" x14ac:dyDescent="0.25"/>
  <cols>
    <col min="1" max="1" width="43" customWidth="1"/>
    <col min="2" max="2" width="36" customWidth="1"/>
    <col min="3" max="3" width="33.7109375" customWidth="1"/>
    <col min="4" max="4" width="35.140625" customWidth="1"/>
    <col min="5" max="5" width="21.5703125" bestFit="1" customWidth="1"/>
    <col min="6" max="7" width="25.85546875" bestFit="1" customWidth="1"/>
    <col min="8" max="8" width="30" bestFit="1" customWidth="1"/>
    <col min="9" max="9" width="30.140625" bestFit="1" customWidth="1"/>
    <col min="10" max="10" width="10.28515625" bestFit="1" customWidth="1"/>
  </cols>
  <sheetData>
    <row r="1" spans="1:10" s="1" customFormat="1" x14ac:dyDescent="0.25">
      <c r="A1" s="16" t="s">
        <v>222</v>
      </c>
      <c r="B1" s="16" t="s">
        <v>233</v>
      </c>
      <c r="C1" s="6" t="s">
        <v>234</v>
      </c>
      <c r="D1" s="6" t="s">
        <v>245</v>
      </c>
      <c r="E1" s="6" t="s">
        <v>158</v>
      </c>
      <c r="F1" s="6" t="s">
        <v>257</v>
      </c>
      <c r="G1" s="6" t="s">
        <v>258</v>
      </c>
      <c r="H1" s="6" t="s">
        <v>259</v>
      </c>
      <c r="I1" s="6" t="s">
        <v>260</v>
      </c>
      <c r="J1" s="16" t="s">
        <v>4</v>
      </c>
    </row>
    <row r="2" spans="1:10" ht="45" x14ac:dyDescent="0.25">
      <c r="A2" s="33" t="s">
        <v>229</v>
      </c>
      <c r="B2" s="33" t="s">
        <v>235</v>
      </c>
      <c r="C2" s="33" t="s">
        <v>90</v>
      </c>
      <c r="D2" s="33" t="s">
        <v>246</v>
      </c>
      <c r="E2" s="3">
        <v>0</v>
      </c>
      <c r="F2" s="3">
        <v>0</v>
      </c>
      <c r="G2" s="3">
        <v>0</v>
      </c>
      <c r="H2" s="3">
        <v>0</v>
      </c>
      <c r="I2" s="3">
        <f>0.2*E2+0.2*(F2+G2)+0.6*H2</f>
        <v>0</v>
      </c>
      <c r="J2" s="8" t="s">
        <v>3</v>
      </c>
    </row>
    <row r="3" spans="1:10" ht="30" x14ac:dyDescent="0.25">
      <c r="A3" s="33" t="s">
        <v>230</v>
      </c>
      <c r="B3" s="33" t="s">
        <v>236</v>
      </c>
      <c r="C3" s="33" t="s">
        <v>89</v>
      </c>
      <c r="D3" s="33" t="s">
        <v>247</v>
      </c>
      <c r="E3" s="3">
        <v>10</v>
      </c>
      <c r="F3" s="3">
        <v>7</v>
      </c>
      <c r="G3" s="3">
        <v>3</v>
      </c>
      <c r="H3" s="3">
        <v>10</v>
      </c>
      <c r="I3" s="3">
        <f t="shared" ref="I3:I12" si="0">0.2*E3+0.2*(F3+G3)+0.6*H3</f>
        <v>10</v>
      </c>
      <c r="J3" s="8" t="s">
        <v>3</v>
      </c>
    </row>
    <row r="4" spans="1:10" ht="30" x14ac:dyDescent="0.25">
      <c r="A4" s="33" t="s">
        <v>231</v>
      </c>
      <c r="B4" s="33" t="s">
        <v>237</v>
      </c>
      <c r="C4" s="33" t="s">
        <v>88</v>
      </c>
      <c r="D4" s="33" t="s">
        <v>250</v>
      </c>
      <c r="E4" s="3">
        <v>20</v>
      </c>
      <c r="F4" s="3">
        <v>14</v>
      </c>
      <c r="G4" s="3">
        <v>6</v>
      </c>
      <c r="H4" s="3">
        <v>20</v>
      </c>
      <c r="I4" s="3">
        <f t="shared" si="0"/>
        <v>20</v>
      </c>
      <c r="J4" s="8" t="s">
        <v>3</v>
      </c>
    </row>
    <row r="5" spans="1:10" ht="30" x14ac:dyDescent="0.25">
      <c r="A5" s="33" t="s">
        <v>232</v>
      </c>
      <c r="B5" s="33" t="s">
        <v>238</v>
      </c>
      <c r="C5" s="33" t="s">
        <v>87</v>
      </c>
      <c r="D5" s="33" t="s">
        <v>248</v>
      </c>
      <c r="E5" s="3">
        <v>30</v>
      </c>
      <c r="F5" s="3">
        <v>21</v>
      </c>
      <c r="G5" s="3">
        <v>9</v>
      </c>
      <c r="H5" s="3">
        <v>30</v>
      </c>
      <c r="I5" s="3">
        <f t="shared" si="0"/>
        <v>30</v>
      </c>
      <c r="J5" s="8" t="s">
        <v>3</v>
      </c>
    </row>
    <row r="6" spans="1:10" ht="30" x14ac:dyDescent="0.25">
      <c r="A6" s="33" t="s">
        <v>228</v>
      </c>
      <c r="B6" s="33" t="s">
        <v>239</v>
      </c>
      <c r="C6" s="33" t="s">
        <v>86</v>
      </c>
      <c r="D6" s="33" t="s">
        <v>249</v>
      </c>
      <c r="E6" s="3">
        <v>40</v>
      </c>
      <c r="F6" s="3">
        <v>28</v>
      </c>
      <c r="G6" s="3">
        <v>12</v>
      </c>
      <c r="H6" s="3">
        <v>40</v>
      </c>
      <c r="I6" s="3">
        <f t="shared" si="0"/>
        <v>40</v>
      </c>
      <c r="J6" s="8" t="s">
        <v>3</v>
      </c>
    </row>
    <row r="7" spans="1:10" ht="30" x14ac:dyDescent="0.25">
      <c r="A7" s="33" t="s">
        <v>227</v>
      </c>
      <c r="B7" s="33" t="s">
        <v>240</v>
      </c>
      <c r="C7" s="33" t="s">
        <v>85</v>
      </c>
      <c r="D7" s="33" t="s">
        <v>251</v>
      </c>
      <c r="E7" s="3">
        <v>50</v>
      </c>
      <c r="F7" s="3">
        <v>35</v>
      </c>
      <c r="G7" s="3">
        <v>15</v>
      </c>
      <c r="H7" s="3">
        <v>50</v>
      </c>
      <c r="I7" s="3">
        <f t="shared" si="0"/>
        <v>50</v>
      </c>
      <c r="J7" s="8" t="s">
        <v>2</v>
      </c>
    </row>
    <row r="8" spans="1:10" ht="30" x14ac:dyDescent="0.25">
      <c r="A8" s="33" t="s">
        <v>226</v>
      </c>
      <c r="B8" s="33" t="s">
        <v>241</v>
      </c>
      <c r="C8" s="33" t="s">
        <v>84</v>
      </c>
      <c r="D8" s="33" t="s">
        <v>252</v>
      </c>
      <c r="E8" s="3">
        <v>60</v>
      </c>
      <c r="F8" s="3">
        <v>42</v>
      </c>
      <c r="G8" s="3">
        <v>18</v>
      </c>
      <c r="H8" s="3">
        <v>60</v>
      </c>
      <c r="I8" s="3">
        <f t="shared" si="0"/>
        <v>60</v>
      </c>
      <c r="J8" s="8" t="s">
        <v>2</v>
      </c>
    </row>
    <row r="9" spans="1:10" ht="30" x14ac:dyDescent="0.25">
      <c r="A9" s="33" t="s">
        <v>223</v>
      </c>
      <c r="B9" s="33" t="s">
        <v>242</v>
      </c>
      <c r="C9" s="33" t="s">
        <v>83</v>
      </c>
      <c r="D9" s="33" t="s">
        <v>253</v>
      </c>
      <c r="E9" s="3">
        <v>70</v>
      </c>
      <c r="F9" s="3">
        <v>49</v>
      </c>
      <c r="G9" s="3">
        <v>21</v>
      </c>
      <c r="H9" s="3">
        <v>70</v>
      </c>
      <c r="I9" s="3">
        <f t="shared" si="0"/>
        <v>70</v>
      </c>
      <c r="J9" s="8" t="s">
        <v>2</v>
      </c>
    </row>
    <row r="10" spans="1:10" ht="30" x14ac:dyDescent="0.25">
      <c r="A10" s="33" t="s">
        <v>225</v>
      </c>
      <c r="B10" s="33" t="s">
        <v>243</v>
      </c>
      <c r="C10" s="33" t="s">
        <v>82</v>
      </c>
      <c r="D10" s="33" t="s">
        <v>254</v>
      </c>
      <c r="E10" s="3">
        <v>80</v>
      </c>
      <c r="F10" s="3">
        <v>56</v>
      </c>
      <c r="G10" s="3">
        <v>24</v>
      </c>
      <c r="H10" s="3">
        <v>80</v>
      </c>
      <c r="I10" s="3">
        <f t="shared" si="0"/>
        <v>80</v>
      </c>
      <c r="J10" s="8" t="s">
        <v>1</v>
      </c>
    </row>
    <row r="11" spans="1:10" ht="30" x14ac:dyDescent="0.25">
      <c r="A11" s="33" t="s">
        <v>224</v>
      </c>
      <c r="B11" s="33" t="s">
        <v>244</v>
      </c>
      <c r="C11" s="33" t="s">
        <v>81</v>
      </c>
      <c r="D11" s="33" t="s">
        <v>255</v>
      </c>
      <c r="E11" s="3">
        <v>90</v>
      </c>
      <c r="F11" s="3">
        <v>63</v>
      </c>
      <c r="G11" s="3">
        <v>27</v>
      </c>
      <c r="H11" s="3">
        <v>90</v>
      </c>
      <c r="I11" s="3">
        <f t="shared" si="0"/>
        <v>90</v>
      </c>
      <c r="J11" s="8" t="s">
        <v>1</v>
      </c>
    </row>
    <row r="12" spans="1:10" x14ac:dyDescent="0.25">
      <c r="A12" s="33" t="s">
        <v>0</v>
      </c>
      <c r="B12" s="33" t="s">
        <v>0</v>
      </c>
      <c r="C12" s="33" t="s">
        <v>0</v>
      </c>
      <c r="D12" s="33" t="s">
        <v>0</v>
      </c>
      <c r="E12" s="3">
        <v>100</v>
      </c>
      <c r="F12" s="3">
        <v>70</v>
      </c>
      <c r="G12" s="3">
        <v>30</v>
      </c>
      <c r="H12" s="3">
        <v>100</v>
      </c>
      <c r="I12" s="3">
        <f t="shared" si="0"/>
        <v>100</v>
      </c>
      <c r="J12" s="8" t="s">
        <v>1</v>
      </c>
    </row>
    <row r="22" spans="1:1" x14ac:dyDescent="0.25">
      <c r="A22" t="s">
        <v>256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7262F4-B4E4-4839-9BC8-CEAF4FA39059}">
  <dimension ref="A1:F14"/>
  <sheetViews>
    <sheetView workbookViewId="0">
      <selection activeCell="B1" sqref="B1"/>
    </sheetView>
  </sheetViews>
  <sheetFormatPr defaultRowHeight="15" x14ac:dyDescent="0.25"/>
  <cols>
    <col min="1" max="1" width="87.85546875" bestFit="1" customWidth="1"/>
    <col min="2" max="2" width="19.7109375" bestFit="1" customWidth="1"/>
    <col min="3" max="3" width="7" bestFit="1" customWidth="1"/>
    <col min="4" max="4" width="10.28515625" bestFit="1" customWidth="1"/>
  </cols>
  <sheetData>
    <row r="1" spans="1:6" x14ac:dyDescent="0.25">
      <c r="A1" s="16" t="s">
        <v>9</v>
      </c>
      <c r="B1" s="16" t="s">
        <v>7</v>
      </c>
      <c r="C1" s="16" t="s">
        <v>104</v>
      </c>
      <c r="D1" s="16" t="s">
        <v>4</v>
      </c>
    </row>
    <row r="2" spans="1:6" x14ac:dyDescent="0.25">
      <c r="A2" s="4" t="s">
        <v>267</v>
      </c>
      <c r="B2" s="8">
        <v>0</v>
      </c>
      <c r="C2" s="8">
        <f>B2</f>
        <v>0</v>
      </c>
      <c r="D2" s="8" t="s">
        <v>3</v>
      </c>
    </row>
    <row r="3" spans="1:6" x14ac:dyDescent="0.25">
      <c r="A3" s="4" t="s">
        <v>270</v>
      </c>
      <c r="B3" s="8">
        <v>10</v>
      </c>
      <c r="C3" s="8">
        <f t="shared" ref="C3:C12" si="0">B3</f>
        <v>10</v>
      </c>
      <c r="D3" s="8" t="s">
        <v>3</v>
      </c>
    </row>
    <row r="4" spans="1:6" x14ac:dyDescent="0.25">
      <c r="A4" s="4" t="s">
        <v>269</v>
      </c>
      <c r="B4" s="8">
        <v>20</v>
      </c>
      <c r="C4" s="8">
        <f t="shared" si="0"/>
        <v>20</v>
      </c>
      <c r="D4" s="8" t="s">
        <v>3</v>
      </c>
    </row>
    <row r="5" spans="1:6" x14ac:dyDescent="0.25">
      <c r="A5" s="4" t="s">
        <v>268</v>
      </c>
      <c r="B5" s="8">
        <v>30</v>
      </c>
      <c r="C5" s="8">
        <f t="shared" si="0"/>
        <v>30</v>
      </c>
      <c r="D5" s="8" t="s">
        <v>3</v>
      </c>
    </row>
    <row r="6" spans="1:6" x14ac:dyDescent="0.25">
      <c r="A6" s="4" t="s">
        <v>266</v>
      </c>
      <c r="B6" s="8">
        <v>40</v>
      </c>
      <c r="C6" s="8">
        <f t="shared" si="0"/>
        <v>40</v>
      </c>
      <c r="D6" s="8" t="s">
        <v>3</v>
      </c>
    </row>
    <row r="7" spans="1:6" x14ac:dyDescent="0.25">
      <c r="A7" s="4" t="s">
        <v>265</v>
      </c>
      <c r="B7" s="8">
        <v>50</v>
      </c>
      <c r="C7" s="8">
        <f t="shared" si="0"/>
        <v>50</v>
      </c>
      <c r="D7" s="8" t="s">
        <v>2</v>
      </c>
    </row>
    <row r="8" spans="1:6" x14ac:dyDescent="0.25">
      <c r="A8" s="4" t="s">
        <v>261</v>
      </c>
      <c r="B8" s="8">
        <v>60</v>
      </c>
      <c r="C8" s="8">
        <f t="shared" si="0"/>
        <v>60</v>
      </c>
      <c r="D8" s="8" t="s">
        <v>2</v>
      </c>
    </row>
    <row r="9" spans="1:6" x14ac:dyDescent="0.25">
      <c r="A9" s="4" t="s">
        <v>264</v>
      </c>
      <c r="B9" s="8">
        <v>70</v>
      </c>
      <c r="C9" s="8">
        <f t="shared" si="0"/>
        <v>70</v>
      </c>
      <c r="D9" s="8" t="s">
        <v>2</v>
      </c>
      <c r="F9" s="22"/>
    </row>
    <row r="10" spans="1:6" x14ac:dyDescent="0.25">
      <c r="A10" s="4" t="s">
        <v>263</v>
      </c>
      <c r="B10" s="8">
        <v>80</v>
      </c>
      <c r="C10" s="8">
        <f t="shared" si="0"/>
        <v>80</v>
      </c>
      <c r="D10" s="8" t="s">
        <v>1</v>
      </c>
      <c r="F10" s="22"/>
    </row>
    <row r="11" spans="1:6" x14ac:dyDescent="0.25">
      <c r="A11" s="4" t="s">
        <v>262</v>
      </c>
      <c r="B11" s="8">
        <v>90</v>
      </c>
      <c r="C11" s="8">
        <f t="shared" si="0"/>
        <v>90</v>
      </c>
      <c r="D11" s="8" t="s">
        <v>1</v>
      </c>
    </row>
    <row r="12" spans="1:6" x14ac:dyDescent="0.25">
      <c r="A12" s="4" t="s">
        <v>0</v>
      </c>
      <c r="B12" s="8">
        <v>100</v>
      </c>
      <c r="C12" s="8">
        <f t="shared" si="0"/>
        <v>100</v>
      </c>
      <c r="D12" s="8" t="s">
        <v>1</v>
      </c>
    </row>
    <row r="13" spans="1:6" x14ac:dyDescent="0.25">
      <c r="F13" s="22"/>
    </row>
    <row r="14" spans="1:6" x14ac:dyDescent="0.25">
      <c r="F14" s="22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F4E520-4C38-40B2-9600-61071EEA8188}">
  <dimension ref="A1:L12"/>
  <sheetViews>
    <sheetView workbookViewId="0">
      <selection activeCell="B1" sqref="B1"/>
    </sheetView>
  </sheetViews>
  <sheetFormatPr defaultRowHeight="15" x14ac:dyDescent="0.25"/>
  <cols>
    <col min="1" max="1" width="106.85546875" bestFit="1" customWidth="1"/>
    <col min="2" max="2" width="21.5703125" bestFit="1" customWidth="1"/>
    <col min="3" max="3" width="61" bestFit="1" customWidth="1"/>
    <col min="4" max="4" width="25.85546875" bestFit="1" customWidth="1"/>
    <col min="5" max="5" width="47.7109375" bestFit="1" customWidth="1"/>
    <col min="6" max="6" width="25.7109375" bestFit="1" customWidth="1"/>
    <col min="7" max="7" width="53.28515625" bestFit="1" customWidth="1"/>
    <col min="8" max="8" width="21.5703125" bestFit="1" customWidth="1"/>
    <col min="9" max="9" width="58.7109375" bestFit="1" customWidth="1"/>
    <col min="10" max="10" width="27.28515625" bestFit="1" customWidth="1"/>
    <col min="11" max="11" width="37.5703125" bestFit="1" customWidth="1"/>
    <col min="12" max="12" width="10.28515625" bestFit="1" customWidth="1"/>
  </cols>
  <sheetData>
    <row r="1" spans="1:12" s="7" customFormat="1" x14ac:dyDescent="0.25">
      <c r="A1" s="16" t="s">
        <v>222</v>
      </c>
      <c r="B1" s="16" t="s">
        <v>158</v>
      </c>
      <c r="C1" s="16" t="s">
        <v>233</v>
      </c>
      <c r="D1" s="16" t="s">
        <v>257</v>
      </c>
      <c r="E1" s="16" t="s">
        <v>234</v>
      </c>
      <c r="F1" s="16" t="s">
        <v>258</v>
      </c>
      <c r="G1" s="16" t="s">
        <v>272</v>
      </c>
      <c r="H1" s="16" t="s">
        <v>293</v>
      </c>
      <c r="I1" s="16" t="s">
        <v>271</v>
      </c>
      <c r="J1" s="16" t="s">
        <v>294</v>
      </c>
      <c r="K1" s="16" t="s">
        <v>295</v>
      </c>
      <c r="L1" s="16" t="s">
        <v>4</v>
      </c>
    </row>
    <row r="2" spans="1:12" x14ac:dyDescent="0.25">
      <c r="A2" s="4" t="s">
        <v>229</v>
      </c>
      <c r="B2" s="3">
        <v>0</v>
      </c>
      <c r="C2" s="4" t="s">
        <v>235</v>
      </c>
      <c r="D2" s="3">
        <v>0</v>
      </c>
      <c r="E2" s="4" t="s">
        <v>90</v>
      </c>
      <c r="F2" s="3">
        <v>0</v>
      </c>
      <c r="G2" s="4" t="s">
        <v>292</v>
      </c>
      <c r="H2" s="3">
        <v>0</v>
      </c>
      <c r="I2" s="3" t="s">
        <v>282</v>
      </c>
      <c r="J2" s="3">
        <v>0</v>
      </c>
      <c r="K2" s="3">
        <f t="shared" ref="K2:K12" si="0">B2*0.2+0.2*(D2+F2)+0.3*H2+0.3*J2</f>
        <v>0</v>
      </c>
      <c r="L2" s="8" t="s">
        <v>3</v>
      </c>
    </row>
    <row r="3" spans="1:12" x14ac:dyDescent="0.25">
      <c r="A3" s="4" t="s">
        <v>230</v>
      </c>
      <c r="B3" s="3">
        <v>10</v>
      </c>
      <c r="C3" s="4" t="s">
        <v>236</v>
      </c>
      <c r="D3" s="3">
        <v>7</v>
      </c>
      <c r="E3" s="4" t="s">
        <v>89</v>
      </c>
      <c r="F3" s="3">
        <v>3</v>
      </c>
      <c r="G3" s="4" t="s">
        <v>291</v>
      </c>
      <c r="H3" s="3">
        <v>10</v>
      </c>
      <c r="I3" s="3" t="s">
        <v>281</v>
      </c>
      <c r="J3" s="3">
        <v>10</v>
      </c>
      <c r="K3" s="3">
        <f t="shared" si="0"/>
        <v>10</v>
      </c>
      <c r="L3" s="8" t="s">
        <v>3</v>
      </c>
    </row>
    <row r="4" spans="1:12" x14ac:dyDescent="0.25">
      <c r="A4" s="4" t="s">
        <v>231</v>
      </c>
      <c r="B4" s="3">
        <v>20</v>
      </c>
      <c r="C4" s="4" t="s">
        <v>237</v>
      </c>
      <c r="D4" s="3">
        <v>14</v>
      </c>
      <c r="E4" s="4" t="s">
        <v>88</v>
      </c>
      <c r="F4" s="3">
        <v>6</v>
      </c>
      <c r="G4" s="4" t="s">
        <v>290</v>
      </c>
      <c r="H4" s="3">
        <v>20</v>
      </c>
      <c r="I4" s="3" t="s">
        <v>280</v>
      </c>
      <c r="J4" s="3">
        <v>20</v>
      </c>
      <c r="K4" s="3">
        <f t="shared" si="0"/>
        <v>20</v>
      </c>
      <c r="L4" s="8" t="s">
        <v>3</v>
      </c>
    </row>
    <row r="5" spans="1:12" x14ac:dyDescent="0.25">
      <c r="A5" s="4" t="s">
        <v>232</v>
      </c>
      <c r="B5" s="3">
        <v>30</v>
      </c>
      <c r="C5" s="4" t="s">
        <v>238</v>
      </c>
      <c r="D5" s="3">
        <v>21</v>
      </c>
      <c r="E5" s="4" t="s">
        <v>87</v>
      </c>
      <c r="F5" s="3">
        <v>9</v>
      </c>
      <c r="G5" s="4" t="s">
        <v>289</v>
      </c>
      <c r="H5" s="3">
        <v>30</v>
      </c>
      <c r="I5" s="3" t="s">
        <v>279</v>
      </c>
      <c r="J5" s="3">
        <v>30</v>
      </c>
      <c r="K5" s="3">
        <f t="shared" si="0"/>
        <v>30</v>
      </c>
      <c r="L5" s="8" t="s">
        <v>3</v>
      </c>
    </row>
    <row r="6" spans="1:12" x14ac:dyDescent="0.25">
      <c r="A6" s="4" t="s">
        <v>228</v>
      </c>
      <c r="B6" s="3">
        <v>40</v>
      </c>
      <c r="C6" s="4" t="s">
        <v>239</v>
      </c>
      <c r="D6" s="3">
        <v>28</v>
      </c>
      <c r="E6" s="4" t="s">
        <v>86</v>
      </c>
      <c r="F6" s="3">
        <v>12</v>
      </c>
      <c r="G6" s="4" t="s">
        <v>288</v>
      </c>
      <c r="H6" s="3">
        <v>40</v>
      </c>
      <c r="I6" s="3" t="s">
        <v>278</v>
      </c>
      <c r="J6" s="3">
        <v>40</v>
      </c>
      <c r="K6" s="3">
        <f t="shared" si="0"/>
        <v>40</v>
      </c>
      <c r="L6" s="8" t="s">
        <v>3</v>
      </c>
    </row>
    <row r="7" spans="1:12" x14ac:dyDescent="0.25">
      <c r="A7" s="4" t="s">
        <v>227</v>
      </c>
      <c r="B7" s="3">
        <v>50</v>
      </c>
      <c r="C7" s="4" t="s">
        <v>240</v>
      </c>
      <c r="D7" s="3">
        <v>35</v>
      </c>
      <c r="E7" s="4" t="s">
        <v>85</v>
      </c>
      <c r="F7" s="3">
        <v>15</v>
      </c>
      <c r="G7" s="4" t="s">
        <v>287</v>
      </c>
      <c r="H7" s="3">
        <v>50</v>
      </c>
      <c r="I7" s="3" t="s">
        <v>277</v>
      </c>
      <c r="J7" s="3">
        <v>50</v>
      </c>
      <c r="K7" s="3">
        <f t="shared" si="0"/>
        <v>50</v>
      </c>
      <c r="L7" s="8" t="s">
        <v>2</v>
      </c>
    </row>
    <row r="8" spans="1:12" x14ac:dyDescent="0.25">
      <c r="A8" s="4" t="s">
        <v>226</v>
      </c>
      <c r="B8" s="3">
        <v>60</v>
      </c>
      <c r="C8" s="4" t="s">
        <v>241</v>
      </c>
      <c r="D8" s="3">
        <v>42</v>
      </c>
      <c r="E8" s="4" t="s">
        <v>84</v>
      </c>
      <c r="F8" s="3">
        <v>18</v>
      </c>
      <c r="G8" s="4" t="s">
        <v>286</v>
      </c>
      <c r="H8" s="3">
        <v>60</v>
      </c>
      <c r="I8" s="3" t="s">
        <v>276</v>
      </c>
      <c r="J8" s="3">
        <v>60</v>
      </c>
      <c r="K8" s="3">
        <f t="shared" si="0"/>
        <v>60</v>
      </c>
      <c r="L8" s="8" t="s">
        <v>2</v>
      </c>
    </row>
    <row r="9" spans="1:12" x14ac:dyDescent="0.25">
      <c r="A9" s="4" t="s">
        <v>223</v>
      </c>
      <c r="B9" s="3">
        <v>70</v>
      </c>
      <c r="C9" s="4" t="s">
        <v>242</v>
      </c>
      <c r="D9" s="3">
        <v>49</v>
      </c>
      <c r="E9" s="4" t="s">
        <v>83</v>
      </c>
      <c r="F9" s="3">
        <v>21</v>
      </c>
      <c r="G9" s="4" t="s">
        <v>284</v>
      </c>
      <c r="H9" s="3">
        <v>70</v>
      </c>
      <c r="I9" s="3" t="s">
        <v>275</v>
      </c>
      <c r="J9" s="3">
        <v>70</v>
      </c>
      <c r="K9" s="3">
        <f t="shared" si="0"/>
        <v>70</v>
      </c>
      <c r="L9" s="8" t="s">
        <v>2</v>
      </c>
    </row>
    <row r="10" spans="1:12" x14ac:dyDescent="0.25">
      <c r="A10" s="4" t="s">
        <v>225</v>
      </c>
      <c r="B10" s="3">
        <v>80</v>
      </c>
      <c r="C10" s="4" t="s">
        <v>243</v>
      </c>
      <c r="D10" s="3">
        <v>56</v>
      </c>
      <c r="E10" s="4" t="s">
        <v>82</v>
      </c>
      <c r="F10" s="3">
        <v>24</v>
      </c>
      <c r="G10" s="4" t="s">
        <v>285</v>
      </c>
      <c r="H10" s="3">
        <v>80</v>
      </c>
      <c r="I10" s="3" t="s">
        <v>274</v>
      </c>
      <c r="J10" s="3">
        <v>80</v>
      </c>
      <c r="K10" s="3">
        <f t="shared" si="0"/>
        <v>80</v>
      </c>
      <c r="L10" s="8" t="s">
        <v>1</v>
      </c>
    </row>
    <row r="11" spans="1:12" x14ac:dyDescent="0.25">
      <c r="A11" s="4" t="s">
        <v>224</v>
      </c>
      <c r="B11" s="3">
        <v>90</v>
      </c>
      <c r="C11" s="4" t="s">
        <v>244</v>
      </c>
      <c r="D11" s="3">
        <v>63</v>
      </c>
      <c r="E11" s="4" t="s">
        <v>81</v>
      </c>
      <c r="F11" s="3">
        <v>27</v>
      </c>
      <c r="G11" s="4" t="s">
        <v>283</v>
      </c>
      <c r="H11" s="3">
        <v>90</v>
      </c>
      <c r="I11" s="3" t="s">
        <v>273</v>
      </c>
      <c r="J11" s="3">
        <v>90</v>
      </c>
      <c r="K11" s="3">
        <f t="shared" si="0"/>
        <v>90</v>
      </c>
      <c r="L11" s="8" t="s">
        <v>1</v>
      </c>
    </row>
    <row r="12" spans="1:12" x14ac:dyDescent="0.25">
      <c r="A12" s="4" t="s">
        <v>0</v>
      </c>
      <c r="B12" s="3">
        <v>100</v>
      </c>
      <c r="C12" s="4" t="s">
        <v>0</v>
      </c>
      <c r="D12" s="3">
        <v>70</v>
      </c>
      <c r="E12" s="4" t="s">
        <v>0</v>
      </c>
      <c r="F12" s="3">
        <v>30</v>
      </c>
      <c r="G12" s="4" t="s">
        <v>0</v>
      </c>
      <c r="H12" s="3">
        <v>100</v>
      </c>
      <c r="I12" s="3" t="s">
        <v>0</v>
      </c>
      <c r="J12" s="3">
        <v>100</v>
      </c>
      <c r="K12" s="3">
        <f t="shared" si="0"/>
        <v>100</v>
      </c>
      <c r="L12" s="8" t="s">
        <v>1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745F94-3512-456E-8D34-2C06689CBA4F}">
  <sheetPr>
    <tabColor rgb="FF92D050"/>
  </sheetPr>
  <dimension ref="A1:S12"/>
  <sheetViews>
    <sheetView zoomScale="80" zoomScaleNormal="80" workbookViewId="0">
      <selection sqref="A1:I8"/>
    </sheetView>
  </sheetViews>
  <sheetFormatPr defaultRowHeight="15" x14ac:dyDescent="0.25"/>
  <cols>
    <col min="1" max="1" width="36.7109375" bestFit="1" customWidth="1"/>
    <col min="2" max="2" width="38.42578125" bestFit="1" customWidth="1"/>
    <col min="3" max="3" width="37.140625" bestFit="1" customWidth="1"/>
    <col min="4" max="4" width="30.7109375" bestFit="1" customWidth="1"/>
    <col min="10" max="10" width="40.140625" style="27" customWidth="1"/>
    <col min="11" max="11" width="40" style="27" bestFit="1" customWidth="1"/>
    <col min="12" max="12" width="40.140625" style="27" customWidth="1"/>
    <col min="13" max="13" width="27.28515625" style="27" bestFit="1" customWidth="1"/>
    <col min="14" max="14" width="20.42578125" style="27" bestFit="1" customWidth="1"/>
    <col min="15" max="15" width="31.42578125" style="27" bestFit="1" customWidth="1"/>
    <col min="16" max="16" width="22.5703125" style="27" bestFit="1" customWidth="1"/>
    <col min="17" max="17" width="17" style="27" bestFit="1" customWidth="1"/>
    <col min="18" max="18" width="38.5703125" customWidth="1"/>
    <col min="19" max="19" width="10.5703125" bestFit="1" customWidth="1"/>
  </cols>
  <sheetData>
    <row r="1" spans="1:19" s="15" customFormat="1" ht="24" x14ac:dyDescent="0.25">
      <c r="A1" s="91" t="s">
        <v>698</v>
      </c>
      <c r="B1" s="91"/>
      <c r="C1" s="91"/>
      <c r="D1" s="91"/>
      <c r="E1"/>
      <c r="F1"/>
      <c r="G1"/>
      <c r="J1" s="32" t="s">
        <v>222</v>
      </c>
      <c r="K1" s="32" t="s">
        <v>383</v>
      </c>
      <c r="L1" s="32" t="s">
        <v>384</v>
      </c>
      <c r="M1" s="32" t="s">
        <v>385</v>
      </c>
      <c r="N1" s="32" t="s">
        <v>158</v>
      </c>
      <c r="O1" s="32" t="s">
        <v>407</v>
      </c>
      <c r="P1" s="32" t="s">
        <v>408</v>
      </c>
      <c r="Q1" s="32" t="s">
        <v>409</v>
      </c>
      <c r="R1" s="16" t="s">
        <v>411</v>
      </c>
      <c r="S1" s="16" t="s">
        <v>4</v>
      </c>
    </row>
    <row r="2" spans="1:19" s="15" customFormat="1" x14ac:dyDescent="0.25">
      <c r="A2"/>
      <c r="B2"/>
      <c r="C2"/>
      <c r="D2"/>
      <c r="E2"/>
      <c r="F2"/>
      <c r="G2"/>
      <c r="J2" s="17" t="s">
        <v>0</v>
      </c>
      <c r="K2" s="17" t="s">
        <v>0</v>
      </c>
      <c r="L2" s="17" t="s">
        <v>0</v>
      </c>
      <c r="M2" s="17" t="s">
        <v>0</v>
      </c>
      <c r="N2" s="3">
        <v>100</v>
      </c>
      <c r="O2" s="3">
        <v>70</v>
      </c>
      <c r="P2" s="3">
        <v>30</v>
      </c>
      <c r="Q2" s="3">
        <v>100</v>
      </c>
      <c r="R2" s="8">
        <f t="shared" ref="R2:R12" si="0">0.4*N2+0.3*(O2+P2)+0.3*Q2</f>
        <v>100</v>
      </c>
      <c r="S2" s="8" t="s">
        <v>1</v>
      </c>
    </row>
    <row r="3" spans="1:19" ht="30" x14ac:dyDescent="0.25">
      <c r="A3" s="87" t="s">
        <v>689</v>
      </c>
      <c r="B3" s="87" t="s">
        <v>692</v>
      </c>
      <c r="C3" s="87"/>
      <c r="D3" s="87" t="s">
        <v>691</v>
      </c>
      <c r="F3" s="39" t="s">
        <v>428</v>
      </c>
      <c r="G3" s="39" t="s">
        <v>428</v>
      </c>
      <c r="H3" s="39" t="s">
        <v>429</v>
      </c>
      <c r="I3" s="39" t="s">
        <v>693</v>
      </c>
      <c r="J3" s="28" t="s">
        <v>224</v>
      </c>
      <c r="K3" s="28" t="s">
        <v>395</v>
      </c>
      <c r="L3" s="28" t="s">
        <v>81</v>
      </c>
      <c r="M3" s="28" t="s">
        <v>396</v>
      </c>
      <c r="N3" s="3">
        <v>90</v>
      </c>
      <c r="O3" s="3">
        <v>63</v>
      </c>
      <c r="P3" s="3">
        <v>27</v>
      </c>
      <c r="Q3" s="3">
        <v>90</v>
      </c>
      <c r="R3" s="8">
        <f t="shared" si="0"/>
        <v>90</v>
      </c>
      <c r="S3" s="8" t="s">
        <v>1</v>
      </c>
    </row>
    <row r="4" spans="1:19" ht="30" x14ac:dyDescent="0.25">
      <c r="A4" s="87"/>
      <c r="B4" s="16" t="s">
        <v>690</v>
      </c>
      <c r="C4" s="16" t="s">
        <v>437</v>
      </c>
      <c r="D4" s="87"/>
      <c r="F4" s="7">
        <f>VLOOKUP(A5, J2:N12, 5,FALSE)</f>
        <v>100</v>
      </c>
      <c r="G4" s="7">
        <f t="shared" ref="G4:I4" si="1">VLOOKUP(B5, K2:O12, 5,FALSE)</f>
        <v>70</v>
      </c>
      <c r="H4" s="7">
        <f t="shared" si="1"/>
        <v>30</v>
      </c>
      <c r="I4" s="7">
        <f t="shared" si="1"/>
        <v>100</v>
      </c>
      <c r="J4" s="28" t="s">
        <v>225</v>
      </c>
      <c r="K4" s="28" t="s">
        <v>394</v>
      </c>
      <c r="L4" s="28" t="s">
        <v>82</v>
      </c>
      <c r="M4" s="28" t="s">
        <v>397</v>
      </c>
      <c r="N4" s="3">
        <v>80</v>
      </c>
      <c r="O4" s="3">
        <v>56</v>
      </c>
      <c r="P4" s="3">
        <v>24</v>
      </c>
      <c r="Q4" s="3">
        <v>80</v>
      </c>
      <c r="R4" s="8">
        <f t="shared" si="0"/>
        <v>80</v>
      </c>
      <c r="S4" s="8" t="s">
        <v>1</v>
      </c>
    </row>
    <row r="5" spans="1:19" ht="30" x14ac:dyDescent="0.25">
      <c r="A5" s="58" t="s">
        <v>0</v>
      </c>
      <c r="B5" s="58" t="s">
        <v>0</v>
      </c>
      <c r="C5" s="8" t="s">
        <v>0</v>
      </c>
      <c r="D5" s="8" t="s">
        <v>0</v>
      </c>
      <c r="J5" s="28" t="s">
        <v>223</v>
      </c>
      <c r="K5" s="28" t="s">
        <v>393</v>
      </c>
      <c r="L5" s="28" t="s">
        <v>83</v>
      </c>
      <c r="M5" s="28" t="s">
        <v>398</v>
      </c>
      <c r="N5" s="3">
        <v>70</v>
      </c>
      <c r="O5" s="3">
        <v>49</v>
      </c>
      <c r="P5" s="3">
        <v>21</v>
      </c>
      <c r="Q5" s="3">
        <v>70</v>
      </c>
      <c r="R5" s="8">
        <f t="shared" si="0"/>
        <v>70</v>
      </c>
      <c r="S5" s="8" t="s">
        <v>2</v>
      </c>
    </row>
    <row r="6" spans="1:19" ht="30" x14ac:dyDescent="0.25">
      <c r="J6" s="28" t="s">
        <v>226</v>
      </c>
      <c r="K6" s="28" t="s">
        <v>392</v>
      </c>
      <c r="L6" s="28" t="s">
        <v>84</v>
      </c>
      <c r="M6" s="28" t="s">
        <v>399</v>
      </c>
      <c r="N6" s="3">
        <v>60</v>
      </c>
      <c r="O6" s="3">
        <v>42</v>
      </c>
      <c r="P6" s="3">
        <v>18</v>
      </c>
      <c r="Q6" s="3">
        <v>60</v>
      </c>
      <c r="R6" s="8">
        <f t="shared" si="0"/>
        <v>60</v>
      </c>
      <c r="S6" s="8" t="s">
        <v>2</v>
      </c>
    </row>
    <row r="7" spans="1:19" ht="30" x14ac:dyDescent="0.25">
      <c r="A7" s="65" t="s">
        <v>699</v>
      </c>
      <c r="B7" s="65">
        <f>IF(OR(F4=0, G4=0, I4=0), 0, ROUND(0.4*F4 + 0.3*(G4+H4) + 0.3*I4, 0))</f>
        <v>100</v>
      </c>
      <c r="J7" s="28" t="s">
        <v>227</v>
      </c>
      <c r="K7" s="28" t="s">
        <v>391</v>
      </c>
      <c r="L7" s="28" t="s">
        <v>85</v>
      </c>
      <c r="M7" s="28" t="s">
        <v>400</v>
      </c>
      <c r="N7" s="3">
        <v>50</v>
      </c>
      <c r="O7" s="3">
        <v>35</v>
      </c>
      <c r="P7" s="3">
        <v>15</v>
      </c>
      <c r="Q7" s="3">
        <v>50</v>
      </c>
      <c r="R7" s="8">
        <f t="shared" si="0"/>
        <v>50</v>
      </c>
      <c r="S7" s="8" t="s">
        <v>2</v>
      </c>
    </row>
    <row r="8" spans="1:19" ht="30" x14ac:dyDescent="0.25">
      <c r="A8" s="65" t="s">
        <v>700</v>
      </c>
      <c r="B8" s="65" t="str">
        <f>IF(AND(B7&gt;=80, B7&lt;=100), "GOOD", IF(AND(B7&gt;40, B7&lt;80), "FAIR", "POOR"))</f>
        <v>GOOD</v>
      </c>
      <c r="J8" s="28" t="s">
        <v>228</v>
      </c>
      <c r="K8" s="28" t="s">
        <v>390</v>
      </c>
      <c r="L8" s="28" t="s">
        <v>86</v>
      </c>
      <c r="M8" s="28" t="s">
        <v>401</v>
      </c>
      <c r="N8" s="3">
        <v>40</v>
      </c>
      <c r="O8" s="3">
        <v>28</v>
      </c>
      <c r="P8" s="3">
        <v>12</v>
      </c>
      <c r="Q8" s="3">
        <v>40</v>
      </c>
      <c r="R8" s="8">
        <f t="shared" si="0"/>
        <v>40</v>
      </c>
      <c r="S8" s="8" t="s">
        <v>3</v>
      </c>
    </row>
    <row r="9" spans="1:19" ht="30" x14ac:dyDescent="0.25">
      <c r="J9" s="28" t="s">
        <v>232</v>
      </c>
      <c r="K9" s="28" t="s">
        <v>389</v>
      </c>
      <c r="L9" s="28" t="s">
        <v>87</v>
      </c>
      <c r="M9" s="28" t="s">
        <v>402</v>
      </c>
      <c r="N9" s="3">
        <v>30</v>
      </c>
      <c r="O9" s="3">
        <v>21</v>
      </c>
      <c r="P9" s="3">
        <v>9</v>
      </c>
      <c r="Q9" s="3">
        <v>30</v>
      </c>
      <c r="R9" s="8">
        <f t="shared" si="0"/>
        <v>30</v>
      </c>
      <c r="S9" s="8" t="s">
        <v>3</v>
      </c>
    </row>
    <row r="10" spans="1:19" ht="30" x14ac:dyDescent="0.25">
      <c r="J10" s="28" t="s">
        <v>231</v>
      </c>
      <c r="K10" s="28" t="s">
        <v>388</v>
      </c>
      <c r="L10" s="28" t="s">
        <v>88</v>
      </c>
      <c r="M10" s="28" t="s">
        <v>403</v>
      </c>
      <c r="N10" s="3">
        <v>20</v>
      </c>
      <c r="O10" s="3">
        <v>14</v>
      </c>
      <c r="P10" s="3">
        <v>6</v>
      </c>
      <c r="Q10" s="3">
        <v>20</v>
      </c>
      <c r="R10" s="8">
        <f t="shared" si="0"/>
        <v>20</v>
      </c>
      <c r="S10" s="8" t="s">
        <v>3</v>
      </c>
    </row>
    <row r="11" spans="1:19" ht="30" x14ac:dyDescent="0.25">
      <c r="J11" s="28" t="s">
        <v>230</v>
      </c>
      <c r="K11" s="28" t="s">
        <v>387</v>
      </c>
      <c r="L11" s="28" t="s">
        <v>405</v>
      </c>
      <c r="M11" s="28" t="s">
        <v>404</v>
      </c>
      <c r="N11" s="3">
        <v>10</v>
      </c>
      <c r="O11" s="3">
        <v>7</v>
      </c>
      <c r="P11" s="3">
        <v>3</v>
      </c>
      <c r="Q11" s="3">
        <v>10</v>
      </c>
      <c r="R11" s="8">
        <f t="shared" si="0"/>
        <v>10</v>
      </c>
      <c r="S11" s="8" t="s">
        <v>3</v>
      </c>
    </row>
    <row r="12" spans="1:19" s="12" customFormat="1" ht="45" x14ac:dyDescent="0.25">
      <c r="J12" s="28" t="s">
        <v>229</v>
      </c>
      <c r="K12" s="28" t="s">
        <v>386</v>
      </c>
      <c r="L12" s="28" t="s">
        <v>90</v>
      </c>
      <c r="M12" s="28" t="s">
        <v>406</v>
      </c>
      <c r="N12" s="8">
        <v>0</v>
      </c>
      <c r="O12" s="8">
        <v>0</v>
      </c>
      <c r="P12" s="8">
        <v>0</v>
      </c>
      <c r="Q12" s="8">
        <v>0</v>
      </c>
      <c r="R12" s="8">
        <f t="shared" si="0"/>
        <v>0</v>
      </c>
      <c r="S12" s="8" t="s">
        <v>3</v>
      </c>
    </row>
  </sheetData>
  <autoFilter ref="J1:S1" xr:uid="{8D745F94-3512-456E-8D34-2C06689CBA4F}">
    <sortState xmlns:xlrd2="http://schemas.microsoft.com/office/spreadsheetml/2017/richdata2" ref="J2:S12">
      <sortCondition descending="1" ref="R1"/>
    </sortState>
  </autoFilter>
  <mergeCells count="4">
    <mergeCell ref="A1:D1"/>
    <mergeCell ref="A3:A4"/>
    <mergeCell ref="B3:C3"/>
    <mergeCell ref="D3:D4"/>
  </mergeCells>
  <dataValidations count="4">
    <dataValidation type="list" allowBlank="1" showInputMessage="1" showErrorMessage="1" sqref="D5" xr:uid="{EC297495-689D-494A-9D01-5E6C9D9731B3}">
      <formula1>$M$2:$M$12</formula1>
    </dataValidation>
    <dataValidation type="list" allowBlank="1" showInputMessage="1" showErrorMessage="1" sqref="C5" xr:uid="{8450544D-9158-408E-B30B-00E40FEE3018}">
      <formula1>$L$2:$L$12</formula1>
    </dataValidation>
    <dataValidation type="list" allowBlank="1" showInputMessage="1" showErrorMessage="1" sqref="B5" xr:uid="{F9A2E570-18B2-4EE4-BF5E-275B8B660BF7}">
      <formula1>$K$2:$K$12</formula1>
    </dataValidation>
    <dataValidation type="list" allowBlank="1" showInputMessage="1" showErrorMessage="1" sqref="A5" xr:uid="{FA425A70-90C7-407C-AA8D-1BDE7222DE97}">
      <formula1>$J$2:$J$12</formula1>
    </dataValidation>
  </dataValidation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30D466-EC78-4741-8A9F-9FC757317045}">
  <sheetPr>
    <tabColor rgb="FF92D050"/>
  </sheetPr>
  <dimension ref="A1:S12"/>
  <sheetViews>
    <sheetView zoomScaleNormal="100" workbookViewId="0">
      <selection activeCell="C11" sqref="C11"/>
    </sheetView>
  </sheetViews>
  <sheetFormatPr defaultRowHeight="15" x14ac:dyDescent="0.25"/>
  <cols>
    <col min="1" max="1" width="36.7109375" bestFit="1" customWidth="1"/>
    <col min="2" max="2" width="38.42578125" bestFit="1" customWidth="1"/>
    <col min="3" max="3" width="37.140625" bestFit="1" customWidth="1"/>
    <col min="4" max="4" width="30.7109375" bestFit="1" customWidth="1"/>
    <col min="10" max="10" width="40.140625" style="27" customWidth="1"/>
    <col min="11" max="11" width="40" style="27" bestFit="1" customWidth="1"/>
    <col min="12" max="12" width="40.140625" style="27" customWidth="1"/>
    <col min="13" max="13" width="27.28515625" style="27" bestFit="1" customWidth="1"/>
    <col min="14" max="14" width="20.42578125" style="27" bestFit="1" customWidth="1"/>
    <col min="15" max="15" width="31.42578125" style="27" bestFit="1" customWidth="1"/>
    <col min="16" max="16" width="22.5703125" style="27" bestFit="1" customWidth="1"/>
    <col min="17" max="17" width="17" style="27" bestFit="1" customWidth="1"/>
    <col min="18" max="18" width="31" bestFit="1" customWidth="1"/>
    <col min="19" max="19" width="10.5703125" bestFit="1" customWidth="1"/>
  </cols>
  <sheetData>
    <row r="1" spans="1:19" s="15" customFormat="1" ht="24" x14ac:dyDescent="0.25">
      <c r="A1" s="91" t="s">
        <v>706</v>
      </c>
      <c r="B1" s="91"/>
      <c r="C1" s="91"/>
      <c r="D1" s="91"/>
      <c r="E1"/>
      <c r="F1"/>
      <c r="G1"/>
      <c r="J1" s="32" t="s">
        <v>222</v>
      </c>
      <c r="K1" s="32" t="s">
        <v>383</v>
      </c>
      <c r="L1" s="32" t="s">
        <v>384</v>
      </c>
      <c r="M1" s="32" t="s">
        <v>385</v>
      </c>
      <c r="N1" s="32" t="s">
        <v>158</v>
      </c>
      <c r="O1" s="32" t="s">
        <v>407</v>
      </c>
      <c r="P1" s="32" t="s">
        <v>408</v>
      </c>
      <c r="Q1" s="32" t="s">
        <v>409</v>
      </c>
      <c r="R1" s="16" t="s">
        <v>411</v>
      </c>
      <c r="S1" s="16" t="s">
        <v>4</v>
      </c>
    </row>
    <row r="2" spans="1:19" s="15" customFormat="1" x14ac:dyDescent="0.25">
      <c r="A2"/>
      <c r="B2"/>
      <c r="C2"/>
      <c r="D2"/>
      <c r="E2"/>
      <c r="F2"/>
      <c r="G2"/>
      <c r="J2" s="17" t="s">
        <v>0</v>
      </c>
      <c r="K2" s="17" t="s">
        <v>0</v>
      </c>
      <c r="L2" s="17" t="s">
        <v>0</v>
      </c>
      <c r="M2" s="17" t="s">
        <v>0</v>
      </c>
      <c r="N2" s="3">
        <v>100</v>
      </c>
      <c r="O2" s="3">
        <v>70</v>
      </c>
      <c r="P2" s="3">
        <v>30</v>
      </c>
      <c r="Q2" s="3">
        <v>100</v>
      </c>
      <c r="R2" s="8">
        <f t="shared" ref="R2:R12" si="0">0.4*N2+0.3*(O2+P2)+0.3*Q2</f>
        <v>100</v>
      </c>
      <c r="S2" s="8" t="s">
        <v>1</v>
      </c>
    </row>
    <row r="3" spans="1:19" ht="30" x14ac:dyDescent="0.25">
      <c r="A3" s="87" t="s">
        <v>689</v>
      </c>
      <c r="B3" s="87" t="s">
        <v>692</v>
      </c>
      <c r="C3" s="87"/>
      <c r="D3" s="87" t="s">
        <v>691</v>
      </c>
      <c r="F3" s="39" t="s">
        <v>428</v>
      </c>
      <c r="G3" s="39" t="s">
        <v>428</v>
      </c>
      <c r="H3" s="39" t="s">
        <v>429</v>
      </c>
      <c r="I3" s="39" t="s">
        <v>693</v>
      </c>
      <c r="J3" s="28" t="s">
        <v>224</v>
      </c>
      <c r="K3" s="28" t="s">
        <v>395</v>
      </c>
      <c r="L3" s="28" t="s">
        <v>81</v>
      </c>
      <c r="M3" s="28" t="s">
        <v>396</v>
      </c>
      <c r="N3" s="3">
        <v>90</v>
      </c>
      <c r="O3" s="3">
        <v>63</v>
      </c>
      <c r="P3" s="3">
        <v>27</v>
      </c>
      <c r="Q3" s="3">
        <v>90</v>
      </c>
      <c r="R3" s="8">
        <f t="shared" si="0"/>
        <v>90</v>
      </c>
      <c r="S3" s="8" t="s">
        <v>1</v>
      </c>
    </row>
    <row r="4" spans="1:19" ht="30" x14ac:dyDescent="0.25">
      <c r="A4" s="87"/>
      <c r="B4" s="16" t="s">
        <v>690</v>
      </c>
      <c r="C4" s="16" t="s">
        <v>437</v>
      </c>
      <c r="D4" s="87"/>
      <c r="F4" s="7">
        <f>VLOOKUP(A5, J2:N12, 5,FALSE)</f>
        <v>100</v>
      </c>
      <c r="G4" s="7">
        <f t="shared" ref="G4:I4" si="1">VLOOKUP(B5, K2:O12, 5,FALSE)</f>
        <v>70</v>
      </c>
      <c r="H4" s="7">
        <f t="shared" si="1"/>
        <v>30</v>
      </c>
      <c r="I4" s="7">
        <f t="shared" si="1"/>
        <v>100</v>
      </c>
      <c r="J4" s="28" t="s">
        <v>225</v>
      </c>
      <c r="K4" s="28" t="s">
        <v>394</v>
      </c>
      <c r="L4" s="28" t="s">
        <v>82</v>
      </c>
      <c r="M4" s="28" t="s">
        <v>397</v>
      </c>
      <c r="N4" s="3">
        <v>80</v>
      </c>
      <c r="O4" s="3">
        <v>56</v>
      </c>
      <c r="P4" s="3">
        <v>24</v>
      </c>
      <c r="Q4" s="3">
        <v>80</v>
      </c>
      <c r="R4" s="8">
        <f t="shared" si="0"/>
        <v>80</v>
      </c>
      <c r="S4" s="8" t="s">
        <v>1</v>
      </c>
    </row>
    <row r="5" spans="1:19" ht="30" x14ac:dyDescent="0.25">
      <c r="A5" s="58" t="s">
        <v>0</v>
      </c>
      <c r="B5" s="58" t="s">
        <v>0</v>
      </c>
      <c r="C5" s="8" t="s">
        <v>0</v>
      </c>
      <c r="D5" s="8" t="s">
        <v>0</v>
      </c>
      <c r="J5" s="28" t="s">
        <v>223</v>
      </c>
      <c r="K5" s="28" t="s">
        <v>393</v>
      </c>
      <c r="L5" s="28" t="s">
        <v>83</v>
      </c>
      <c r="M5" s="28" t="s">
        <v>398</v>
      </c>
      <c r="N5" s="3">
        <v>70</v>
      </c>
      <c r="O5" s="3">
        <v>49</v>
      </c>
      <c r="P5" s="3">
        <v>21</v>
      </c>
      <c r="Q5" s="3">
        <v>70</v>
      </c>
      <c r="R5" s="8">
        <f t="shared" si="0"/>
        <v>70</v>
      </c>
      <c r="S5" s="8" t="s">
        <v>2</v>
      </c>
    </row>
    <row r="6" spans="1:19" ht="30" x14ac:dyDescent="0.25">
      <c r="J6" s="28" t="s">
        <v>226</v>
      </c>
      <c r="K6" s="28" t="s">
        <v>392</v>
      </c>
      <c r="L6" s="28" t="s">
        <v>84</v>
      </c>
      <c r="M6" s="28" t="s">
        <v>399</v>
      </c>
      <c r="N6" s="3">
        <v>60</v>
      </c>
      <c r="O6" s="3">
        <v>42</v>
      </c>
      <c r="P6" s="3">
        <v>18</v>
      </c>
      <c r="Q6" s="3">
        <v>60</v>
      </c>
      <c r="R6" s="8">
        <f t="shared" si="0"/>
        <v>60</v>
      </c>
      <c r="S6" s="8" t="s">
        <v>2</v>
      </c>
    </row>
    <row r="7" spans="1:19" ht="30" x14ac:dyDescent="0.25">
      <c r="A7" s="65" t="s">
        <v>707</v>
      </c>
      <c r="B7" s="65">
        <f>IF(OR(F4=0, G4=0, I4=0), 0, ROUND(0.4*F4 + 0.3*(G4+H4) + 0.3*I4, 0))</f>
        <v>100</v>
      </c>
      <c r="J7" s="28" t="s">
        <v>227</v>
      </c>
      <c r="K7" s="28" t="s">
        <v>391</v>
      </c>
      <c r="L7" s="28" t="s">
        <v>85</v>
      </c>
      <c r="M7" s="28" t="s">
        <v>400</v>
      </c>
      <c r="N7" s="3">
        <v>50</v>
      </c>
      <c r="O7" s="3">
        <v>35</v>
      </c>
      <c r="P7" s="3">
        <v>15</v>
      </c>
      <c r="Q7" s="3">
        <v>50</v>
      </c>
      <c r="R7" s="8">
        <f t="shared" si="0"/>
        <v>50</v>
      </c>
      <c r="S7" s="8" t="s">
        <v>2</v>
      </c>
    </row>
    <row r="8" spans="1:19" ht="30" x14ac:dyDescent="0.25">
      <c r="A8" s="65" t="s">
        <v>708</v>
      </c>
      <c r="B8" s="65" t="str">
        <f>IF(AND(B7&gt;=80, B7&lt;=100), "GOOD", IF(AND(B7&gt;40, B7&lt;80), "FAIR", "POOR"))</f>
        <v>GOOD</v>
      </c>
      <c r="J8" s="28" t="s">
        <v>228</v>
      </c>
      <c r="K8" s="28" t="s">
        <v>390</v>
      </c>
      <c r="L8" s="28" t="s">
        <v>86</v>
      </c>
      <c r="M8" s="28" t="s">
        <v>401</v>
      </c>
      <c r="N8" s="3">
        <v>40</v>
      </c>
      <c r="O8" s="3">
        <v>28</v>
      </c>
      <c r="P8" s="3">
        <v>12</v>
      </c>
      <c r="Q8" s="3">
        <v>40</v>
      </c>
      <c r="R8" s="8">
        <f t="shared" si="0"/>
        <v>40</v>
      </c>
      <c r="S8" s="8" t="s">
        <v>3</v>
      </c>
    </row>
    <row r="9" spans="1:19" ht="30" x14ac:dyDescent="0.25">
      <c r="J9" s="28" t="s">
        <v>232</v>
      </c>
      <c r="K9" s="28" t="s">
        <v>389</v>
      </c>
      <c r="L9" s="28" t="s">
        <v>87</v>
      </c>
      <c r="M9" s="28" t="s">
        <v>402</v>
      </c>
      <c r="N9" s="3">
        <v>30</v>
      </c>
      <c r="O9" s="3">
        <v>21</v>
      </c>
      <c r="P9" s="3">
        <v>9</v>
      </c>
      <c r="Q9" s="3">
        <v>30</v>
      </c>
      <c r="R9" s="8">
        <f t="shared" si="0"/>
        <v>30</v>
      </c>
      <c r="S9" s="8" t="s">
        <v>3</v>
      </c>
    </row>
    <row r="10" spans="1:19" ht="30" x14ac:dyDescent="0.25">
      <c r="J10" s="28" t="s">
        <v>231</v>
      </c>
      <c r="K10" s="28" t="s">
        <v>388</v>
      </c>
      <c r="L10" s="28" t="s">
        <v>88</v>
      </c>
      <c r="M10" s="28" t="s">
        <v>403</v>
      </c>
      <c r="N10" s="3">
        <v>20</v>
      </c>
      <c r="O10" s="3">
        <v>14</v>
      </c>
      <c r="P10" s="3">
        <v>6</v>
      </c>
      <c r="Q10" s="3">
        <v>20</v>
      </c>
      <c r="R10" s="8">
        <f t="shared" si="0"/>
        <v>20</v>
      </c>
      <c r="S10" s="8" t="s">
        <v>3</v>
      </c>
    </row>
    <row r="11" spans="1:19" ht="30" x14ac:dyDescent="0.25">
      <c r="J11" s="28" t="s">
        <v>230</v>
      </c>
      <c r="K11" s="28" t="s">
        <v>387</v>
      </c>
      <c r="L11" s="28" t="s">
        <v>405</v>
      </c>
      <c r="M11" s="28" t="s">
        <v>404</v>
      </c>
      <c r="N11" s="3">
        <v>10</v>
      </c>
      <c r="O11" s="3">
        <v>7</v>
      </c>
      <c r="P11" s="3">
        <v>3</v>
      </c>
      <c r="Q11" s="3">
        <v>10</v>
      </c>
      <c r="R11" s="8">
        <f t="shared" si="0"/>
        <v>10</v>
      </c>
      <c r="S11" s="8" t="s">
        <v>3</v>
      </c>
    </row>
    <row r="12" spans="1:19" ht="45" x14ac:dyDescent="0.25">
      <c r="J12" s="28" t="s">
        <v>229</v>
      </c>
      <c r="K12" s="28" t="s">
        <v>386</v>
      </c>
      <c r="L12" s="28" t="s">
        <v>90</v>
      </c>
      <c r="M12" s="28" t="s">
        <v>406</v>
      </c>
      <c r="N12" s="3">
        <v>0</v>
      </c>
      <c r="O12" s="3">
        <v>0</v>
      </c>
      <c r="P12" s="3">
        <v>0</v>
      </c>
      <c r="Q12" s="3">
        <v>0</v>
      </c>
      <c r="R12" s="8">
        <f t="shared" si="0"/>
        <v>0</v>
      </c>
      <c r="S12" s="8" t="s">
        <v>3</v>
      </c>
    </row>
  </sheetData>
  <autoFilter ref="J1:S1" xr:uid="{5630D466-EC78-4741-8A9F-9FC757317045}">
    <sortState xmlns:xlrd2="http://schemas.microsoft.com/office/spreadsheetml/2017/richdata2" ref="J2:S12">
      <sortCondition descending="1" ref="R1"/>
    </sortState>
  </autoFilter>
  <mergeCells count="4">
    <mergeCell ref="A1:D1"/>
    <mergeCell ref="A3:A4"/>
    <mergeCell ref="B3:C3"/>
    <mergeCell ref="D3:D4"/>
  </mergeCells>
  <dataValidations disablePrompts="1" count="4">
    <dataValidation type="list" allowBlank="1" showInputMessage="1" showErrorMessage="1" sqref="B5" xr:uid="{A80514F6-EC4C-49FE-BE33-9CA74C4A2F6A}">
      <formula1>$K$2:$K$12</formula1>
    </dataValidation>
    <dataValidation type="list" allowBlank="1" showInputMessage="1" showErrorMessage="1" sqref="C5" xr:uid="{20008914-DCF8-4821-A8CD-45CC1AF7F643}">
      <formula1>$L$2:$L$12</formula1>
    </dataValidation>
    <dataValidation type="list" allowBlank="1" showInputMessage="1" showErrorMessage="1" sqref="D5" xr:uid="{D223FF68-62ED-4312-9CB1-9D4DCB8A3F88}">
      <formula1>$M$2:$M$12</formula1>
    </dataValidation>
    <dataValidation type="list" allowBlank="1" showInputMessage="1" showErrorMessage="1" sqref="A5" xr:uid="{9F9FEBFB-BCD3-4F16-85E9-97709BD737CE}">
      <formula1>$J$2:$J$12</formula1>
    </dataValidation>
  </dataValidation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72E285-58F2-41D7-BB4B-44005DC2BD74}">
  <dimension ref="A1:D12"/>
  <sheetViews>
    <sheetView workbookViewId="0">
      <selection activeCell="B1" sqref="B1"/>
    </sheetView>
  </sheetViews>
  <sheetFormatPr defaultRowHeight="15" x14ac:dyDescent="0.25"/>
  <cols>
    <col min="1" max="1" width="85.7109375" customWidth="1"/>
    <col min="2" max="2" width="19.7109375" bestFit="1" customWidth="1"/>
    <col min="3" max="3" width="7" bestFit="1" customWidth="1"/>
    <col min="4" max="4" width="10.28515625" bestFit="1" customWidth="1"/>
  </cols>
  <sheetData>
    <row r="1" spans="1:4" x14ac:dyDescent="0.25">
      <c r="A1" s="16" t="s">
        <v>9</v>
      </c>
      <c r="B1" s="16" t="s">
        <v>7</v>
      </c>
      <c r="C1" s="16" t="s">
        <v>104</v>
      </c>
      <c r="D1" s="16" t="s">
        <v>4</v>
      </c>
    </row>
    <row r="2" spans="1:4" ht="45" x14ac:dyDescent="0.25">
      <c r="A2" s="28" t="s">
        <v>304</v>
      </c>
      <c r="B2" s="8">
        <v>0</v>
      </c>
      <c r="C2" s="8">
        <f>B2</f>
        <v>0</v>
      </c>
      <c r="D2" s="8" t="s">
        <v>3</v>
      </c>
    </row>
    <row r="3" spans="1:4" ht="30" x14ac:dyDescent="0.25">
      <c r="A3" s="28" t="s">
        <v>303</v>
      </c>
      <c r="B3" s="8">
        <v>10</v>
      </c>
      <c r="C3" s="8">
        <f t="shared" ref="C3:C12" si="0">B3</f>
        <v>10</v>
      </c>
      <c r="D3" s="8" t="s">
        <v>3</v>
      </c>
    </row>
    <row r="4" spans="1:4" ht="30" x14ac:dyDescent="0.25">
      <c r="A4" s="28" t="s">
        <v>302</v>
      </c>
      <c r="B4" s="8">
        <v>20</v>
      </c>
      <c r="C4" s="8">
        <f t="shared" si="0"/>
        <v>20</v>
      </c>
      <c r="D4" s="8" t="s">
        <v>3</v>
      </c>
    </row>
    <row r="5" spans="1:4" ht="30" x14ac:dyDescent="0.25">
      <c r="A5" s="28" t="s">
        <v>301</v>
      </c>
      <c r="B5" s="8">
        <v>30</v>
      </c>
      <c r="C5" s="8">
        <f t="shared" si="0"/>
        <v>30</v>
      </c>
      <c r="D5" s="8" t="s">
        <v>3</v>
      </c>
    </row>
    <row r="6" spans="1:4" ht="30" x14ac:dyDescent="0.25">
      <c r="A6" s="28" t="s">
        <v>300</v>
      </c>
      <c r="B6" s="8">
        <v>40</v>
      </c>
      <c r="C6" s="8">
        <f t="shared" si="0"/>
        <v>40</v>
      </c>
      <c r="D6" s="8" t="s">
        <v>3</v>
      </c>
    </row>
    <row r="7" spans="1:4" ht="30" x14ac:dyDescent="0.25">
      <c r="A7" s="28" t="s">
        <v>296</v>
      </c>
      <c r="B7" s="8">
        <v>50</v>
      </c>
      <c r="C7" s="8">
        <f t="shared" si="0"/>
        <v>50</v>
      </c>
      <c r="D7" s="8" t="s">
        <v>2</v>
      </c>
    </row>
    <row r="8" spans="1:4" ht="30" x14ac:dyDescent="0.25">
      <c r="A8" s="28" t="s">
        <v>296</v>
      </c>
      <c r="B8" s="8">
        <v>60</v>
      </c>
      <c r="C8" s="8">
        <f t="shared" si="0"/>
        <v>60</v>
      </c>
      <c r="D8" s="8" t="s">
        <v>2</v>
      </c>
    </row>
    <row r="9" spans="1:4" x14ac:dyDescent="0.25">
      <c r="A9" s="28" t="s">
        <v>298</v>
      </c>
      <c r="B9" s="8">
        <v>70</v>
      </c>
      <c r="C9" s="8">
        <f t="shared" si="0"/>
        <v>70</v>
      </c>
      <c r="D9" s="8" t="s">
        <v>2</v>
      </c>
    </row>
    <row r="10" spans="1:4" x14ac:dyDescent="0.25">
      <c r="A10" s="28" t="s">
        <v>299</v>
      </c>
      <c r="B10" s="8">
        <v>80</v>
      </c>
      <c r="C10" s="8">
        <f t="shared" si="0"/>
        <v>80</v>
      </c>
      <c r="D10" s="8" t="s">
        <v>1</v>
      </c>
    </row>
    <row r="11" spans="1:4" x14ac:dyDescent="0.25">
      <c r="A11" s="28" t="s">
        <v>297</v>
      </c>
      <c r="B11" s="8">
        <v>90</v>
      </c>
      <c r="C11" s="8">
        <f t="shared" si="0"/>
        <v>90</v>
      </c>
      <c r="D11" s="8" t="s">
        <v>1</v>
      </c>
    </row>
    <row r="12" spans="1:4" x14ac:dyDescent="0.25">
      <c r="A12" s="28" t="s">
        <v>0</v>
      </c>
      <c r="B12" s="8">
        <v>100</v>
      </c>
      <c r="C12" s="8">
        <f t="shared" si="0"/>
        <v>100</v>
      </c>
      <c r="D12" s="8" t="s">
        <v>1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8CDF6-A930-43A6-9852-6365338B1860}">
  <sheetPr>
    <tabColor rgb="FF92D050"/>
  </sheetPr>
  <dimension ref="A1:H12"/>
  <sheetViews>
    <sheetView workbookViewId="0">
      <selection sqref="A1:D8"/>
    </sheetView>
  </sheetViews>
  <sheetFormatPr defaultRowHeight="15" x14ac:dyDescent="0.25"/>
  <cols>
    <col min="1" max="1" width="59.7109375" customWidth="1"/>
    <col min="2" max="2" width="33.85546875" customWidth="1"/>
    <col min="5" max="5" width="33.85546875" bestFit="1" customWidth="1"/>
    <col min="6" max="6" width="19.7109375" bestFit="1" customWidth="1"/>
    <col min="7" max="7" width="7" bestFit="1" customWidth="1"/>
    <col min="8" max="8" width="10.28515625" bestFit="1" customWidth="1"/>
  </cols>
  <sheetData>
    <row r="1" spans="1:8" ht="24" x14ac:dyDescent="0.4">
      <c r="A1" s="78" t="s">
        <v>702</v>
      </c>
      <c r="B1" s="78"/>
      <c r="E1" s="16" t="s">
        <v>9</v>
      </c>
      <c r="F1" s="16" t="s">
        <v>7</v>
      </c>
      <c r="G1" s="16" t="s">
        <v>104</v>
      </c>
      <c r="H1" s="16" t="s">
        <v>4</v>
      </c>
    </row>
    <row r="2" spans="1:8" x14ac:dyDescent="0.25">
      <c r="E2" s="8" t="s">
        <v>0</v>
      </c>
      <c r="F2" s="8">
        <v>100</v>
      </c>
      <c r="G2" s="8">
        <f t="shared" ref="G2:G12" si="0">F2</f>
        <v>100</v>
      </c>
      <c r="H2" s="8" t="s">
        <v>1</v>
      </c>
    </row>
    <row r="3" spans="1:8" x14ac:dyDescent="0.25">
      <c r="A3" s="16" t="s">
        <v>438</v>
      </c>
      <c r="B3" s="14"/>
      <c r="D3" s="39" t="s">
        <v>428</v>
      </c>
      <c r="E3" s="8" t="s">
        <v>309</v>
      </c>
      <c r="F3" s="8">
        <v>90</v>
      </c>
      <c r="G3" s="8">
        <f t="shared" si="0"/>
        <v>90</v>
      </c>
      <c r="H3" s="8" t="s">
        <v>1</v>
      </c>
    </row>
    <row r="4" spans="1:8" x14ac:dyDescent="0.25">
      <c r="A4" s="58" t="s">
        <v>0</v>
      </c>
      <c r="B4" s="42"/>
      <c r="D4" s="7">
        <f>VLOOKUP(A4, E2:G12, 3,FALSE)</f>
        <v>100</v>
      </c>
      <c r="E4" s="8" t="s">
        <v>305</v>
      </c>
      <c r="F4" s="8">
        <v>80</v>
      </c>
      <c r="G4" s="8">
        <f t="shared" si="0"/>
        <v>80</v>
      </c>
      <c r="H4" s="8" t="s">
        <v>1</v>
      </c>
    </row>
    <row r="5" spans="1:8" x14ac:dyDescent="0.25">
      <c r="E5" s="8" t="s">
        <v>310</v>
      </c>
      <c r="F5" s="8">
        <v>70</v>
      </c>
      <c r="G5" s="8">
        <f t="shared" si="0"/>
        <v>70</v>
      </c>
      <c r="H5" s="8" t="s">
        <v>2</v>
      </c>
    </row>
    <row r="6" spans="1:8" x14ac:dyDescent="0.25">
      <c r="E6" s="8" t="s">
        <v>306</v>
      </c>
      <c r="F6" s="8">
        <v>60</v>
      </c>
      <c r="G6" s="8">
        <f t="shared" si="0"/>
        <v>60</v>
      </c>
      <c r="H6" s="8" t="s">
        <v>2</v>
      </c>
    </row>
    <row r="7" spans="1:8" x14ac:dyDescent="0.25">
      <c r="A7" s="44" t="s">
        <v>703</v>
      </c>
      <c r="B7" s="44">
        <f>D4</f>
        <v>100</v>
      </c>
      <c r="E7" s="8" t="s">
        <v>311</v>
      </c>
      <c r="F7" s="8">
        <v>50</v>
      </c>
      <c r="G7" s="8">
        <f t="shared" si="0"/>
        <v>50</v>
      </c>
      <c r="H7" s="8" t="s">
        <v>2</v>
      </c>
    </row>
    <row r="8" spans="1:8" x14ac:dyDescent="0.25">
      <c r="A8" s="44" t="s">
        <v>704</v>
      </c>
      <c r="B8" s="44" t="str">
        <f>IF(AND(B7&gt;=80, B7&lt;=100), "GOOD", IF(AND(B7&gt;40, B7&lt;80), "FAIR", "POOR"))</f>
        <v>GOOD</v>
      </c>
      <c r="E8" s="8" t="s">
        <v>307</v>
      </c>
      <c r="F8" s="8">
        <v>40</v>
      </c>
      <c r="G8" s="8">
        <f t="shared" si="0"/>
        <v>40</v>
      </c>
      <c r="H8" s="8" t="s">
        <v>3</v>
      </c>
    </row>
    <row r="9" spans="1:8" x14ac:dyDescent="0.25">
      <c r="E9" s="8" t="s">
        <v>312</v>
      </c>
      <c r="F9" s="8">
        <v>30</v>
      </c>
      <c r="G9" s="8">
        <f t="shared" si="0"/>
        <v>30</v>
      </c>
      <c r="H9" s="8" t="s">
        <v>3</v>
      </c>
    </row>
    <row r="10" spans="1:8" x14ac:dyDescent="0.25">
      <c r="E10" s="8" t="s">
        <v>308</v>
      </c>
      <c r="F10" s="8">
        <v>20</v>
      </c>
      <c r="G10" s="8">
        <f t="shared" si="0"/>
        <v>20</v>
      </c>
      <c r="H10" s="8" t="s">
        <v>3</v>
      </c>
    </row>
    <row r="11" spans="1:8" x14ac:dyDescent="0.25">
      <c r="E11" s="8" t="s">
        <v>313</v>
      </c>
      <c r="F11" s="8">
        <v>10</v>
      </c>
      <c r="G11" s="8">
        <f t="shared" si="0"/>
        <v>10</v>
      </c>
      <c r="H11" s="8" t="s">
        <v>3</v>
      </c>
    </row>
    <row r="12" spans="1:8" x14ac:dyDescent="0.25">
      <c r="E12" s="8" t="s">
        <v>314</v>
      </c>
      <c r="F12" s="8">
        <v>0</v>
      </c>
      <c r="G12" s="8">
        <f t="shared" si="0"/>
        <v>0</v>
      </c>
      <c r="H12" s="8" t="s">
        <v>3</v>
      </c>
    </row>
  </sheetData>
  <autoFilter ref="E1:H12" xr:uid="{7A98CDF6-A930-43A6-9852-6365338B1860}"/>
  <mergeCells count="1">
    <mergeCell ref="A1:B1"/>
  </mergeCells>
  <dataValidations count="2">
    <dataValidation type="list" allowBlank="1" showInputMessage="1" showErrorMessage="1" sqref="A5" xr:uid="{160ED75C-09D7-4708-B20C-72492339924E}">
      <formula1>$K$4:$K$12</formula1>
    </dataValidation>
    <dataValidation type="list" allowBlank="1" showInputMessage="1" showErrorMessage="1" sqref="A4" xr:uid="{BB057B27-32F2-4BAB-8E49-56864FE5EBE2}">
      <formula1>$E$2:$E$12</formula1>
    </dataValidation>
  </dataValidation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A26ABF-D4EB-4CAB-B213-8894AEE245A0}">
  <sheetPr>
    <tabColor rgb="FF92D050"/>
  </sheetPr>
  <dimension ref="A1:H12"/>
  <sheetViews>
    <sheetView workbookViewId="0">
      <selection sqref="A1:D8"/>
    </sheetView>
  </sheetViews>
  <sheetFormatPr defaultRowHeight="15" x14ac:dyDescent="0.25"/>
  <cols>
    <col min="1" max="1" width="36" bestFit="1" customWidth="1"/>
    <col min="2" max="2" width="56.5703125" customWidth="1"/>
    <col min="5" max="5" width="35.5703125" bestFit="1" customWidth="1"/>
    <col min="6" max="6" width="19.7109375" bestFit="1" customWidth="1"/>
    <col min="7" max="7" width="7" bestFit="1" customWidth="1"/>
    <col min="8" max="8" width="10.28515625" bestFit="1" customWidth="1"/>
  </cols>
  <sheetData>
    <row r="1" spans="1:8" s="15" customFormat="1" ht="24" x14ac:dyDescent="0.4">
      <c r="A1" s="78" t="s">
        <v>710</v>
      </c>
      <c r="B1" s="78"/>
      <c r="C1"/>
      <c r="D1"/>
      <c r="E1" s="16" t="s">
        <v>9</v>
      </c>
      <c r="F1" s="16" t="s">
        <v>7</v>
      </c>
      <c r="G1" s="16" t="s">
        <v>104</v>
      </c>
      <c r="H1" s="16" t="s">
        <v>4</v>
      </c>
    </row>
    <row r="2" spans="1:8" s="15" customFormat="1" x14ac:dyDescent="0.25">
      <c r="A2"/>
      <c r="B2"/>
      <c r="C2"/>
      <c r="D2"/>
      <c r="E2" s="8" t="s">
        <v>0</v>
      </c>
      <c r="F2" s="8">
        <v>100</v>
      </c>
      <c r="G2" s="8">
        <f t="shared" ref="G2:G12" si="0">F2</f>
        <v>100</v>
      </c>
      <c r="H2" s="8" t="s">
        <v>1</v>
      </c>
    </row>
    <row r="3" spans="1:8" x14ac:dyDescent="0.25">
      <c r="A3" s="16" t="s">
        <v>438</v>
      </c>
      <c r="B3" s="14"/>
      <c r="D3" s="39" t="s">
        <v>428</v>
      </c>
      <c r="E3" s="8" t="s">
        <v>713</v>
      </c>
      <c r="F3" s="8">
        <v>90</v>
      </c>
      <c r="G3" s="8">
        <f t="shared" si="0"/>
        <v>90</v>
      </c>
      <c r="H3" s="8" t="s">
        <v>1</v>
      </c>
    </row>
    <row r="4" spans="1:8" x14ac:dyDescent="0.25">
      <c r="A4" s="58" t="s">
        <v>0</v>
      </c>
      <c r="B4" s="42"/>
      <c r="D4" s="7">
        <f>VLOOKUP(A4,E2:G12, 3,FALSE)</f>
        <v>100</v>
      </c>
      <c r="E4" s="8" t="s">
        <v>322</v>
      </c>
      <c r="F4" s="8">
        <v>80</v>
      </c>
      <c r="G4" s="8">
        <f t="shared" si="0"/>
        <v>80</v>
      </c>
      <c r="H4" s="8" t="s">
        <v>1</v>
      </c>
    </row>
    <row r="5" spans="1:8" x14ac:dyDescent="0.25">
      <c r="E5" s="8" t="s">
        <v>321</v>
      </c>
      <c r="F5" s="8">
        <v>70</v>
      </c>
      <c r="G5" s="8">
        <f t="shared" si="0"/>
        <v>70</v>
      </c>
      <c r="H5" s="8" t="s">
        <v>2</v>
      </c>
    </row>
    <row r="6" spans="1:8" x14ac:dyDescent="0.25">
      <c r="E6" s="8" t="s">
        <v>320</v>
      </c>
      <c r="F6" s="8">
        <v>60</v>
      </c>
      <c r="G6" s="8">
        <f t="shared" si="0"/>
        <v>60</v>
      </c>
      <c r="H6" s="8" t="s">
        <v>2</v>
      </c>
    </row>
    <row r="7" spans="1:8" x14ac:dyDescent="0.25">
      <c r="A7" s="44" t="s">
        <v>711</v>
      </c>
      <c r="B7" s="44">
        <f>D4</f>
        <v>100</v>
      </c>
      <c r="E7" s="8" t="s">
        <v>319</v>
      </c>
      <c r="F7" s="8">
        <v>50</v>
      </c>
      <c r="G7" s="8">
        <f t="shared" si="0"/>
        <v>50</v>
      </c>
      <c r="H7" s="8" t="s">
        <v>2</v>
      </c>
    </row>
    <row r="8" spans="1:8" x14ac:dyDescent="0.25">
      <c r="A8" s="44" t="s">
        <v>712</v>
      </c>
      <c r="B8" s="44" t="str">
        <f>IF(AND(B7&gt;=80, B7&lt;=100), "GOOD", IF(AND(B7&gt;40, B7&lt;80), "FAIR", "POOR"))</f>
        <v>GOOD</v>
      </c>
      <c r="E8" s="8" t="s">
        <v>318</v>
      </c>
      <c r="F8" s="8">
        <v>40</v>
      </c>
      <c r="G8" s="8">
        <f t="shared" si="0"/>
        <v>40</v>
      </c>
      <c r="H8" s="8" t="s">
        <v>3</v>
      </c>
    </row>
    <row r="9" spans="1:8" x14ac:dyDescent="0.25">
      <c r="E9" s="8" t="s">
        <v>317</v>
      </c>
      <c r="F9" s="8">
        <v>30</v>
      </c>
      <c r="G9" s="8">
        <f t="shared" si="0"/>
        <v>30</v>
      </c>
      <c r="H9" s="8" t="s">
        <v>3</v>
      </c>
    </row>
    <row r="10" spans="1:8" x14ac:dyDescent="0.25">
      <c r="E10" s="8" t="s">
        <v>316</v>
      </c>
      <c r="F10" s="8">
        <v>20</v>
      </c>
      <c r="G10" s="8">
        <f t="shared" si="0"/>
        <v>20</v>
      </c>
      <c r="H10" s="8" t="s">
        <v>3</v>
      </c>
    </row>
    <row r="11" spans="1:8" x14ac:dyDescent="0.25">
      <c r="E11" s="8" t="s">
        <v>315</v>
      </c>
      <c r="F11" s="8">
        <v>10</v>
      </c>
      <c r="G11" s="8">
        <f t="shared" si="0"/>
        <v>10</v>
      </c>
      <c r="H11" s="8" t="s">
        <v>3</v>
      </c>
    </row>
    <row r="12" spans="1:8" x14ac:dyDescent="0.25">
      <c r="E12" s="8" t="s">
        <v>714</v>
      </c>
      <c r="F12" s="8">
        <v>0</v>
      </c>
      <c r="G12" s="8">
        <f t="shared" si="0"/>
        <v>0</v>
      </c>
      <c r="H12" s="8" t="s">
        <v>3</v>
      </c>
    </row>
  </sheetData>
  <autoFilter ref="E1:H12" xr:uid="{C6A26ABF-D4EB-4CAB-B213-8894AEE245A0}"/>
  <mergeCells count="1">
    <mergeCell ref="A1:B1"/>
  </mergeCells>
  <dataValidations count="2">
    <dataValidation type="list" allowBlank="1" showInputMessage="1" showErrorMessage="1" sqref="A5" xr:uid="{75B94F5D-A1A1-486B-8E92-0AF72B377762}">
      <formula1>$G$4:$G$12</formula1>
    </dataValidation>
    <dataValidation type="list" allowBlank="1" showInputMessage="1" showErrorMessage="1" sqref="A4" xr:uid="{293E022E-0759-4837-A8A3-5BB7DFEBAF07}">
      <formula1>$E$2:$E$12</formula1>
    </dataValidation>
  </dataValidation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F86BE-1339-465A-974A-A21F34C86049}">
  <dimension ref="A1:D12"/>
  <sheetViews>
    <sheetView zoomScale="95" zoomScaleNormal="95" workbookViewId="0">
      <selection activeCell="B1" sqref="B1"/>
    </sheetView>
  </sheetViews>
  <sheetFormatPr defaultRowHeight="15" x14ac:dyDescent="0.25"/>
  <cols>
    <col min="1" max="1" width="82" bestFit="1" customWidth="1"/>
    <col min="2" max="2" width="19.7109375" bestFit="1" customWidth="1"/>
    <col min="3" max="3" width="7" bestFit="1" customWidth="1"/>
    <col min="4" max="4" width="10.28515625" bestFit="1" customWidth="1"/>
  </cols>
  <sheetData>
    <row r="1" spans="1:4" s="15" customFormat="1" x14ac:dyDescent="0.25">
      <c r="A1" s="16" t="s">
        <v>9</v>
      </c>
      <c r="B1" s="16" t="s">
        <v>7</v>
      </c>
      <c r="C1" s="16" t="s">
        <v>104</v>
      </c>
      <c r="D1" s="16" t="s">
        <v>4</v>
      </c>
    </row>
    <row r="2" spans="1:4" s="15" customFormat="1" x14ac:dyDescent="0.25">
      <c r="A2" s="2" t="s">
        <v>342</v>
      </c>
      <c r="B2" s="8">
        <v>0</v>
      </c>
      <c r="C2" s="8">
        <f>B2</f>
        <v>0</v>
      </c>
      <c r="D2" s="8" t="s">
        <v>3</v>
      </c>
    </row>
    <row r="3" spans="1:4" x14ac:dyDescent="0.25">
      <c r="A3" s="2" t="s">
        <v>341</v>
      </c>
      <c r="B3" s="8">
        <v>10</v>
      </c>
      <c r="C3" s="8">
        <f t="shared" ref="C3:C12" si="0">B3</f>
        <v>10</v>
      </c>
      <c r="D3" s="8" t="s">
        <v>3</v>
      </c>
    </row>
    <row r="4" spans="1:4" x14ac:dyDescent="0.25">
      <c r="A4" s="2" t="s">
        <v>339</v>
      </c>
      <c r="B4" s="8">
        <v>20</v>
      </c>
      <c r="C4" s="8">
        <f t="shared" si="0"/>
        <v>20</v>
      </c>
      <c r="D4" s="8" t="s">
        <v>3</v>
      </c>
    </row>
    <row r="5" spans="1:4" x14ac:dyDescent="0.25">
      <c r="A5" s="2" t="s">
        <v>338</v>
      </c>
      <c r="B5" s="8">
        <v>30</v>
      </c>
      <c r="C5" s="8">
        <f t="shared" si="0"/>
        <v>30</v>
      </c>
      <c r="D5" s="8" t="s">
        <v>3</v>
      </c>
    </row>
    <row r="6" spans="1:4" x14ac:dyDescent="0.25">
      <c r="A6" s="2" t="s">
        <v>337</v>
      </c>
      <c r="B6" s="8">
        <v>40</v>
      </c>
      <c r="C6" s="8">
        <f t="shared" si="0"/>
        <v>40</v>
      </c>
      <c r="D6" s="8" t="s">
        <v>3</v>
      </c>
    </row>
    <row r="7" spans="1:4" x14ac:dyDescent="0.25">
      <c r="A7" s="2" t="s">
        <v>336</v>
      </c>
      <c r="B7" s="8">
        <v>50</v>
      </c>
      <c r="C7" s="8">
        <f t="shared" si="0"/>
        <v>50</v>
      </c>
      <c r="D7" s="8" t="s">
        <v>2</v>
      </c>
    </row>
    <row r="8" spans="1:4" x14ac:dyDescent="0.25">
      <c r="A8" s="2" t="s">
        <v>335</v>
      </c>
      <c r="B8" s="8">
        <v>60</v>
      </c>
      <c r="C8" s="8">
        <f t="shared" si="0"/>
        <v>60</v>
      </c>
      <c r="D8" s="8" t="s">
        <v>2</v>
      </c>
    </row>
    <row r="9" spans="1:4" x14ac:dyDescent="0.25">
      <c r="A9" s="2" t="s">
        <v>340</v>
      </c>
      <c r="B9" s="8">
        <v>70</v>
      </c>
      <c r="C9" s="8">
        <f t="shared" si="0"/>
        <v>70</v>
      </c>
      <c r="D9" s="8" t="s">
        <v>2</v>
      </c>
    </row>
    <row r="10" spans="1:4" x14ac:dyDescent="0.25">
      <c r="A10" s="2" t="s">
        <v>334</v>
      </c>
      <c r="B10" s="8">
        <v>80</v>
      </c>
      <c r="C10" s="8">
        <f t="shared" si="0"/>
        <v>80</v>
      </c>
      <c r="D10" s="8" t="s">
        <v>1</v>
      </c>
    </row>
    <row r="11" spans="1:4" x14ac:dyDescent="0.25">
      <c r="A11" s="2" t="s">
        <v>333</v>
      </c>
      <c r="B11" s="8">
        <v>90</v>
      </c>
      <c r="C11" s="8">
        <f t="shared" si="0"/>
        <v>90</v>
      </c>
      <c r="D11" s="8" t="s">
        <v>1</v>
      </c>
    </row>
    <row r="12" spans="1:4" x14ac:dyDescent="0.25">
      <c r="A12" s="2" t="s">
        <v>0</v>
      </c>
      <c r="B12" s="8">
        <v>100</v>
      </c>
      <c r="C12" s="8">
        <f t="shared" si="0"/>
        <v>100</v>
      </c>
      <c r="D12" s="8" t="s">
        <v>1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30418D-6C3C-47DA-8939-2EF6B32E5F00}">
  <dimension ref="A1:D12"/>
  <sheetViews>
    <sheetView workbookViewId="0">
      <selection activeCell="B1" sqref="B1"/>
    </sheetView>
  </sheetViews>
  <sheetFormatPr defaultRowHeight="15" x14ac:dyDescent="0.25"/>
  <cols>
    <col min="1" max="1" width="82" bestFit="1" customWidth="1"/>
    <col min="2" max="2" width="19.7109375" bestFit="1" customWidth="1"/>
    <col min="3" max="3" width="7" bestFit="1" customWidth="1"/>
    <col min="4" max="4" width="10.28515625" bestFit="1" customWidth="1"/>
  </cols>
  <sheetData>
    <row r="1" spans="1:4" s="15" customFormat="1" x14ac:dyDescent="0.25">
      <c r="A1" s="16" t="s">
        <v>9</v>
      </c>
      <c r="B1" s="16" t="s">
        <v>7</v>
      </c>
      <c r="C1" s="16" t="s">
        <v>104</v>
      </c>
      <c r="D1" s="16" t="s">
        <v>4</v>
      </c>
    </row>
    <row r="2" spans="1:4" s="15" customFormat="1" x14ac:dyDescent="0.25">
      <c r="A2" s="2" t="s">
        <v>342</v>
      </c>
      <c r="B2" s="8">
        <v>0</v>
      </c>
      <c r="C2" s="8">
        <f>B2</f>
        <v>0</v>
      </c>
      <c r="D2" s="8" t="s">
        <v>3</v>
      </c>
    </row>
    <row r="3" spans="1:4" s="15" customFormat="1" x14ac:dyDescent="0.25">
      <c r="A3" s="2" t="s">
        <v>341</v>
      </c>
      <c r="B3" s="8">
        <v>10</v>
      </c>
      <c r="C3" s="8">
        <f t="shared" ref="C3:C12" si="0">B3</f>
        <v>10</v>
      </c>
      <c r="D3" s="8" t="s">
        <v>3</v>
      </c>
    </row>
    <row r="4" spans="1:4" s="15" customFormat="1" x14ac:dyDescent="0.25">
      <c r="A4" s="2" t="s">
        <v>339</v>
      </c>
      <c r="B4" s="8">
        <v>20</v>
      </c>
      <c r="C4" s="8">
        <f t="shared" si="0"/>
        <v>20</v>
      </c>
      <c r="D4" s="8" t="s">
        <v>3</v>
      </c>
    </row>
    <row r="5" spans="1:4" s="15" customFormat="1" x14ac:dyDescent="0.25">
      <c r="A5" s="2" t="s">
        <v>338</v>
      </c>
      <c r="B5" s="8">
        <v>30</v>
      </c>
      <c r="C5" s="8">
        <f t="shared" si="0"/>
        <v>30</v>
      </c>
      <c r="D5" s="8" t="s">
        <v>3</v>
      </c>
    </row>
    <row r="6" spans="1:4" s="15" customFormat="1" x14ac:dyDescent="0.25">
      <c r="A6" s="2" t="s">
        <v>337</v>
      </c>
      <c r="B6" s="8">
        <v>40</v>
      </c>
      <c r="C6" s="8">
        <f t="shared" si="0"/>
        <v>40</v>
      </c>
      <c r="D6" s="8" t="s">
        <v>3</v>
      </c>
    </row>
    <row r="7" spans="1:4" s="15" customFormat="1" x14ac:dyDescent="0.25">
      <c r="A7" s="2" t="s">
        <v>336</v>
      </c>
      <c r="B7" s="8">
        <v>50</v>
      </c>
      <c r="C7" s="8">
        <f t="shared" si="0"/>
        <v>50</v>
      </c>
      <c r="D7" s="8" t="s">
        <v>2</v>
      </c>
    </row>
    <row r="8" spans="1:4" x14ac:dyDescent="0.25">
      <c r="A8" s="2" t="s">
        <v>335</v>
      </c>
      <c r="B8" s="8">
        <v>60</v>
      </c>
      <c r="C8" s="8">
        <f t="shared" si="0"/>
        <v>60</v>
      </c>
      <c r="D8" s="8" t="s">
        <v>2</v>
      </c>
    </row>
    <row r="9" spans="1:4" x14ac:dyDescent="0.25">
      <c r="A9" s="2" t="s">
        <v>340</v>
      </c>
      <c r="B9" s="8">
        <v>70</v>
      </c>
      <c r="C9" s="8">
        <f t="shared" si="0"/>
        <v>70</v>
      </c>
      <c r="D9" s="8" t="s">
        <v>2</v>
      </c>
    </row>
    <row r="10" spans="1:4" x14ac:dyDescent="0.25">
      <c r="A10" s="2" t="s">
        <v>334</v>
      </c>
      <c r="B10" s="8">
        <v>80</v>
      </c>
      <c r="C10" s="8">
        <f t="shared" si="0"/>
        <v>80</v>
      </c>
      <c r="D10" s="8" t="s">
        <v>1</v>
      </c>
    </row>
    <row r="11" spans="1:4" x14ac:dyDescent="0.25">
      <c r="A11" s="2" t="s">
        <v>333</v>
      </c>
      <c r="B11" s="8">
        <v>90</v>
      </c>
      <c r="C11" s="8">
        <f t="shared" si="0"/>
        <v>90</v>
      </c>
      <c r="D11" s="8" t="s">
        <v>1</v>
      </c>
    </row>
    <row r="12" spans="1:4" x14ac:dyDescent="0.25">
      <c r="A12" s="2" t="s">
        <v>0</v>
      </c>
      <c r="B12" s="8">
        <v>100</v>
      </c>
      <c r="C12" s="8">
        <f t="shared" si="0"/>
        <v>100</v>
      </c>
      <c r="D12" s="8" t="s">
        <v>1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B1286-3DAC-4893-BA76-11D4DC2B7E90}">
  <dimension ref="A1:D12"/>
  <sheetViews>
    <sheetView workbookViewId="0">
      <selection activeCell="B1" sqref="B1"/>
    </sheetView>
  </sheetViews>
  <sheetFormatPr defaultRowHeight="15" x14ac:dyDescent="0.25"/>
  <cols>
    <col min="1" max="1" width="68.140625" bestFit="1" customWidth="1"/>
    <col min="2" max="2" width="19.7109375" bestFit="1" customWidth="1"/>
    <col min="3" max="3" width="7" bestFit="1" customWidth="1"/>
    <col min="4" max="4" width="10.28515625" bestFit="1" customWidth="1"/>
  </cols>
  <sheetData>
    <row r="1" spans="1:4" x14ac:dyDescent="0.25">
      <c r="A1" s="16" t="s">
        <v>9</v>
      </c>
      <c r="B1" s="16" t="s">
        <v>7</v>
      </c>
      <c r="C1" s="16" t="s">
        <v>104</v>
      </c>
      <c r="D1" s="16" t="s">
        <v>4</v>
      </c>
    </row>
    <row r="2" spans="1:4" x14ac:dyDescent="0.25">
      <c r="A2" s="2" t="s">
        <v>343</v>
      </c>
      <c r="B2" s="8">
        <v>0</v>
      </c>
      <c r="C2" s="8">
        <f>B2</f>
        <v>0</v>
      </c>
      <c r="D2" s="8" t="s">
        <v>3</v>
      </c>
    </row>
    <row r="3" spans="1:4" x14ac:dyDescent="0.25">
      <c r="A3" s="2" t="s">
        <v>344</v>
      </c>
      <c r="B3" s="8">
        <v>10</v>
      </c>
      <c r="C3" s="8">
        <f t="shared" ref="C3:C12" si="0">B3</f>
        <v>10</v>
      </c>
      <c r="D3" s="8" t="s">
        <v>3</v>
      </c>
    </row>
    <row r="4" spans="1:4" x14ac:dyDescent="0.25">
      <c r="A4" s="2" t="s">
        <v>345</v>
      </c>
      <c r="B4" s="8">
        <v>20</v>
      </c>
      <c r="C4" s="8">
        <f t="shared" si="0"/>
        <v>20</v>
      </c>
      <c r="D4" s="8" t="s">
        <v>3</v>
      </c>
    </row>
    <row r="5" spans="1:4" x14ac:dyDescent="0.25">
      <c r="A5" s="2" t="s">
        <v>346</v>
      </c>
      <c r="B5" s="8">
        <v>30</v>
      </c>
      <c r="C5" s="8">
        <f t="shared" si="0"/>
        <v>30</v>
      </c>
      <c r="D5" s="8" t="s">
        <v>3</v>
      </c>
    </row>
    <row r="6" spans="1:4" x14ac:dyDescent="0.25">
      <c r="A6" s="2" t="s">
        <v>347</v>
      </c>
      <c r="B6" s="8">
        <v>40</v>
      </c>
      <c r="C6" s="8">
        <f t="shared" si="0"/>
        <v>40</v>
      </c>
      <c r="D6" s="8" t="s">
        <v>3</v>
      </c>
    </row>
    <row r="7" spans="1:4" x14ac:dyDescent="0.25">
      <c r="A7" s="2" t="s">
        <v>348</v>
      </c>
      <c r="B7" s="8">
        <v>50</v>
      </c>
      <c r="C7" s="8">
        <f t="shared" si="0"/>
        <v>50</v>
      </c>
      <c r="D7" s="8" t="s">
        <v>2</v>
      </c>
    </row>
    <row r="8" spans="1:4" x14ac:dyDescent="0.25">
      <c r="A8" s="2" t="s">
        <v>349</v>
      </c>
      <c r="B8" s="8">
        <v>60</v>
      </c>
      <c r="C8" s="8">
        <f t="shared" si="0"/>
        <v>60</v>
      </c>
      <c r="D8" s="8" t="s">
        <v>2</v>
      </c>
    </row>
    <row r="9" spans="1:4" x14ac:dyDescent="0.25">
      <c r="A9" s="2" t="s">
        <v>350</v>
      </c>
      <c r="B9" s="8">
        <v>70</v>
      </c>
      <c r="C9" s="8">
        <f t="shared" si="0"/>
        <v>70</v>
      </c>
      <c r="D9" s="8" t="s">
        <v>2</v>
      </c>
    </row>
    <row r="10" spans="1:4" x14ac:dyDescent="0.25">
      <c r="A10" s="2" t="s">
        <v>351</v>
      </c>
      <c r="B10" s="8">
        <v>80</v>
      </c>
      <c r="C10" s="8">
        <f t="shared" si="0"/>
        <v>80</v>
      </c>
      <c r="D10" s="8" t="s">
        <v>1</v>
      </c>
    </row>
    <row r="11" spans="1:4" x14ac:dyDescent="0.25">
      <c r="A11" s="2" t="s">
        <v>352</v>
      </c>
      <c r="B11" s="8">
        <v>90</v>
      </c>
      <c r="C11" s="8">
        <f t="shared" si="0"/>
        <v>90</v>
      </c>
      <c r="D11" s="8" t="s">
        <v>1</v>
      </c>
    </row>
    <row r="12" spans="1:4" x14ac:dyDescent="0.25">
      <c r="A12" s="2" t="s">
        <v>0</v>
      </c>
      <c r="B12" s="8">
        <v>100</v>
      </c>
      <c r="C12" s="8">
        <f t="shared" si="0"/>
        <v>100</v>
      </c>
      <c r="D12" s="8" t="s">
        <v>1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8763E6-EC96-456B-8791-0EC78916305E}">
  <sheetPr>
    <tabColor rgb="FF92D050"/>
  </sheetPr>
  <dimension ref="A1:L12"/>
  <sheetViews>
    <sheetView zoomScaleNormal="100" workbookViewId="0">
      <selection activeCell="F1" sqref="F1:K12"/>
    </sheetView>
  </sheetViews>
  <sheetFormatPr defaultColWidth="40.140625" defaultRowHeight="15" x14ac:dyDescent="0.25"/>
  <cols>
    <col min="3" max="3" width="13.85546875" customWidth="1"/>
    <col min="4" max="5" width="10.7109375" customWidth="1"/>
    <col min="6" max="6" width="107.28515625" style="12" bestFit="1" customWidth="1"/>
    <col min="7" max="7" width="22" style="12" bestFit="1" customWidth="1"/>
    <col min="8" max="8" width="19.28515625" bestFit="1" customWidth="1"/>
    <col min="9" max="9" width="21" bestFit="1" customWidth="1"/>
    <col min="10" max="10" width="10.140625" bestFit="1" customWidth="1"/>
    <col min="11" max="11" width="10.28515625" bestFit="1" customWidth="1"/>
  </cols>
  <sheetData>
    <row r="1" spans="1:12" s="15" customFormat="1" ht="24" x14ac:dyDescent="0.4">
      <c r="A1" s="78" t="s">
        <v>716</v>
      </c>
      <c r="B1" s="78"/>
      <c r="C1"/>
      <c r="D1"/>
      <c r="E1"/>
      <c r="F1" s="16" t="s">
        <v>197</v>
      </c>
      <c r="G1" s="16" t="s">
        <v>8</v>
      </c>
      <c r="H1" s="16" t="s">
        <v>217</v>
      </c>
      <c r="I1" s="16" t="s">
        <v>6</v>
      </c>
      <c r="J1" s="16" t="s">
        <v>218</v>
      </c>
      <c r="K1" s="16" t="s">
        <v>4</v>
      </c>
    </row>
    <row r="2" spans="1:12" s="15" customFormat="1" x14ac:dyDescent="0.25">
      <c r="A2"/>
      <c r="B2"/>
      <c r="C2"/>
      <c r="D2"/>
      <c r="E2"/>
      <c r="F2" s="10" t="s">
        <v>0</v>
      </c>
      <c r="G2" s="10" t="s">
        <v>0</v>
      </c>
      <c r="H2" s="8">
        <v>60</v>
      </c>
      <c r="I2" s="8">
        <v>40</v>
      </c>
      <c r="J2" s="8">
        <f t="shared" ref="J2:J12" si="0">H2+I2</f>
        <v>100</v>
      </c>
      <c r="K2" s="8" t="s">
        <v>1</v>
      </c>
    </row>
    <row r="3" spans="1:12" x14ac:dyDescent="0.25">
      <c r="A3" s="16" t="s">
        <v>670</v>
      </c>
      <c r="B3" s="16" t="s">
        <v>437</v>
      </c>
      <c r="D3" s="39" t="s">
        <v>630</v>
      </c>
      <c r="E3" s="39" t="s">
        <v>429</v>
      </c>
      <c r="F3" s="10" t="s">
        <v>725</v>
      </c>
      <c r="G3" s="10" t="s">
        <v>353</v>
      </c>
      <c r="H3" s="8">
        <v>54</v>
      </c>
      <c r="I3" s="8">
        <v>36</v>
      </c>
      <c r="J3" s="8">
        <f t="shared" si="0"/>
        <v>90</v>
      </c>
      <c r="K3" s="8" t="s">
        <v>1</v>
      </c>
    </row>
    <row r="4" spans="1:12" x14ac:dyDescent="0.25">
      <c r="A4" s="42" t="s">
        <v>0</v>
      </c>
      <c r="B4" s="42" t="s">
        <v>0</v>
      </c>
      <c r="D4" s="1">
        <f>VLOOKUP(A4, F1:H12, 3,FALSE)</f>
        <v>60</v>
      </c>
      <c r="E4" s="1">
        <f>VLOOKUP(B4, G1:I13, 3, FALSE)</f>
        <v>40</v>
      </c>
      <c r="F4" s="10" t="s">
        <v>726</v>
      </c>
      <c r="G4" s="10" t="s">
        <v>354</v>
      </c>
      <c r="H4" s="8">
        <v>48</v>
      </c>
      <c r="I4" s="8">
        <v>32</v>
      </c>
      <c r="J4" s="8">
        <f t="shared" si="0"/>
        <v>80</v>
      </c>
      <c r="K4" s="8" t="s">
        <v>1</v>
      </c>
    </row>
    <row r="5" spans="1:12" x14ac:dyDescent="0.25">
      <c r="F5" s="10" t="s">
        <v>717</v>
      </c>
      <c r="G5" s="10" t="s">
        <v>355</v>
      </c>
      <c r="H5" s="8">
        <v>42</v>
      </c>
      <c r="I5" s="8">
        <v>28</v>
      </c>
      <c r="J5" s="8">
        <f t="shared" si="0"/>
        <v>70</v>
      </c>
      <c r="K5" s="8" t="s">
        <v>2</v>
      </c>
    </row>
    <row r="6" spans="1:12" x14ac:dyDescent="0.25">
      <c r="F6" s="10" t="s">
        <v>718</v>
      </c>
      <c r="G6" s="10" t="s">
        <v>356</v>
      </c>
      <c r="H6" s="8">
        <v>36</v>
      </c>
      <c r="I6" s="8">
        <v>24</v>
      </c>
      <c r="J6" s="8">
        <f t="shared" si="0"/>
        <v>60</v>
      </c>
      <c r="K6" s="8" t="s">
        <v>2</v>
      </c>
    </row>
    <row r="7" spans="1:12" ht="18.75" customHeight="1" x14ac:dyDescent="0.25">
      <c r="A7" s="65" t="s">
        <v>729</v>
      </c>
      <c r="B7" s="65">
        <f>IF(D4=0, 0, D4+E4)</f>
        <v>100</v>
      </c>
      <c r="F7" s="10" t="s">
        <v>719</v>
      </c>
      <c r="G7" s="10" t="s">
        <v>357</v>
      </c>
      <c r="H7" s="8">
        <v>30</v>
      </c>
      <c r="I7" s="8">
        <v>20</v>
      </c>
      <c r="J7" s="8">
        <f t="shared" si="0"/>
        <v>50</v>
      </c>
      <c r="K7" s="8" t="s">
        <v>2</v>
      </c>
    </row>
    <row r="8" spans="1:12" ht="21" customHeight="1" x14ac:dyDescent="0.25">
      <c r="A8" s="65" t="s">
        <v>730</v>
      </c>
      <c r="B8" s="65" t="str">
        <f>IF(AND(B7&gt;=80, B7&lt;=100), "GOOD", IF(AND(B7&gt;40, B7&lt;80), "FAIR", "POOR"))</f>
        <v>GOOD</v>
      </c>
      <c r="F8" s="10" t="s">
        <v>720</v>
      </c>
      <c r="G8" s="10" t="s">
        <v>358</v>
      </c>
      <c r="H8" s="8">
        <v>24</v>
      </c>
      <c r="I8" s="8">
        <v>16</v>
      </c>
      <c r="J8" s="8">
        <f t="shared" si="0"/>
        <v>40</v>
      </c>
      <c r="K8" s="8" t="s">
        <v>3</v>
      </c>
    </row>
    <row r="9" spans="1:12" x14ac:dyDescent="0.25">
      <c r="F9" s="10" t="s">
        <v>721</v>
      </c>
      <c r="G9" s="10" t="s">
        <v>359</v>
      </c>
      <c r="H9" s="8">
        <v>18</v>
      </c>
      <c r="I9" s="8">
        <v>12</v>
      </c>
      <c r="J9" s="8">
        <f t="shared" si="0"/>
        <v>30</v>
      </c>
      <c r="K9" s="8" t="s">
        <v>3</v>
      </c>
    </row>
    <row r="10" spans="1:12" x14ac:dyDescent="0.25">
      <c r="F10" s="10" t="s">
        <v>722</v>
      </c>
      <c r="G10" s="10" t="s">
        <v>360</v>
      </c>
      <c r="H10" s="8">
        <v>12</v>
      </c>
      <c r="I10" s="8">
        <v>8</v>
      </c>
      <c r="J10" s="8">
        <f t="shared" si="0"/>
        <v>20</v>
      </c>
      <c r="K10" s="8" t="s">
        <v>3</v>
      </c>
      <c r="L10" t="s">
        <v>256</v>
      </c>
    </row>
    <row r="11" spans="1:12" x14ac:dyDescent="0.25">
      <c r="F11" s="10" t="s">
        <v>723</v>
      </c>
      <c r="G11" s="10" t="s">
        <v>361</v>
      </c>
      <c r="H11" s="8">
        <v>6</v>
      </c>
      <c r="I11" s="8">
        <v>4</v>
      </c>
      <c r="J11" s="8">
        <f t="shared" si="0"/>
        <v>10</v>
      </c>
      <c r="K11" s="8" t="s">
        <v>3</v>
      </c>
    </row>
    <row r="12" spans="1:12" x14ac:dyDescent="0.25">
      <c r="F12" s="10" t="s">
        <v>724</v>
      </c>
      <c r="G12" s="10" t="s">
        <v>362</v>
      </c>
      <c r="H12" s="8">
        <v>0</v>
      </c>
      <c r="I12" s="8">
        <v>0</v>
      </c>
      <c r="J12" s="8">
        <f t="shared" si="0"/>
        <v>0</v>
      </c>
      <c r="K12" s="8" t="s">
        <v>3</v>
      </c>
    </row>
  </sheetData>
  <autoFilter ref="F1:K12" xr:uid="{828763E6-EC96-456B-8791-0EC78916305E}">
    <sortState xmlns:xlrd2="http://schemas.microsoft.com/office/spreadsheetml/2017/richdata2" ref="F2:K12">
      <sortCondition descending="1" ref="J1:J12"/>
    </sortState>
  </autoFilter>
  <mergeCells count="1">
    <mergeCell ref="A1:B1"/>
  </mergeCells>
  <dataValidations count="3">
    <dataValidation type="list" allowBlank="1" showInputMessage="1" showErrorMessage="1" sqref="B4" xr:uid="{0BFA7768-2E69-4864-9E18-CAF459CD2689}">
      <formula1>$G$2:$G$12</formula1>
    </dataValidation>
    <dataValidation type="list" allowBlank="1" showInputMessage="1" showErrorMessage="1" sqref="A4" xr:uid="{4E66201D-BB76-4774-A283-9B398AC6F204}">
      <formula1>$F$2:$F$12</formula1>
    </dataValidation>
    <dataValidation type="list" allowBlank="1" showInputMessage="1" showErrorMessage="1" sqref="A5" xr:uid="{8628F552-C733-40EE-BDE4-0BB809BB46D5}">
      <formula1>$J$5:$J$13</formula1>
    </dataValidation>
  </dataValidation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270AC0-9C86-4039-AB78-EDFAA814AC06}">
  <sheetPr>
    <tabColor rgb="FF92D050"/>
  </sheetPr>
  <dimension ref="A1:M12"/>
  <sheetViews>
    <sheetView zoomScale="90" zoomScaleNormal="90" workbookViewId="0">
      <selection sqref="A1:E8"/>
    </sheetView>
  </sheetViews>
  <sheetFormatPr defaultRowHeight="15" x14ac:dyDescent="0.25"/>
  <cols>
    <col min="1" max="1" width="35.42578125" bestFit="1" customWidth="1"/>
    <col min="2" max="2" width="43.28515625" customWidth="1"/>
    <col min="7" max="7" width="39.85546875" style="27" bestFit="1" customWidth="1"/>
    <col min="8" max="8" width="37.140625" style="27" bestFit="1" customWidth="1"/>
    <col min="9" max="9" width="19.28515625" bestFit="1" customWidth="1"/>
    <col min="10" max="10" width="21.28515625" bestFit="1" customWidth="1"/>
    <col min="11" max="11" width="10.28515625" bestFit="1" customWidth="1"/>
    <col min="12" max="12" width="10.5703125" bestFit="1" customWidth="1"/>
    <col min="13" max="13" width="9.140625" style="1"/>
  </cols>
  <sheetData>
    <row r="1" spans="1:13" s="15" customFormat="1" ht="24" x14ac:dyDescent="0.4">
      <c r="A1" s="78" t="s">
        <v>728</v>
      </c>
      <c r="B1" s="78"/>
      <c r="C1"/>
      <c r="D1"/>
      <c r="E1"/>
      <c r="G1" s="32" t="s">
        <v>197</v>
      </c>
      <c r="H1" s="32" t="s">
        <v>8</v>
      </c>
      <c r="I1" s="16" t="s">
        <v>217</v>
      </c>
      <c r="J1" s="16" t="s">
        <v>6</v>
      </c>
      <c r="K1" s="16" t="s">
        <v>218</v>
      </c>
      <c r="L1" s="16" t="s">
        <v>4</v>
      </c>
      <c r="M1" s="23"/>
    </row>
    <row r="2" spans="1:13" s="15" customFormat="1" x14ac:dyDescent="0.25">
      <c r="A2"/>
      <c r="B2"/>
      <c r="C2"/>
      <c r="D2"/>
      <c r="E2"/>
      <c r="G2" s="17" t="s">
        <v>0</v>
      </c>
      <c r="H2" s="17" t="s">
        <v>0</v>
      </c>
      <c r="I2" s="8">
        <v>60</v>
      </c>
      <c r="J2" s="8">
        <v>40</v>
      </c>
      <c r="K2" s="8">
        <f t="shared" ref="K2:K12" si="0">I2+J2</f>
        <v>100</v>
      </c>
      <c r="L2" s="8" t="s">
        <v>1</v>
      </c>
      <c r="M2" s="23"/>
    </row>
    <row r="3" spans="1:13" ht="30" x14ac:dyDescent="0.25">
      <c r="A3" s="16" t="s">
        <v>670</v>
      </c>
      <c r="B3" s="16" t="s">
        <v>437</v>
      </c>
      <c r="D3" s="39" t="s">
        <v>630</v>
      </c>
      <c r="E3" s="39" t="s">
        <v>429</v>
      </c>
      <c r="G3" s="17" t="s">
        <v>363</v>
      </c>
      <c r="H3" s="17" t="s">
        <v>373</v>
      </c>
      <c r="I3" s="8">
        <v>55</v>
      </c>
      <c r="J3" s="8">
        <v>36</v>
      </c>
      <c r="K3" s="8">
        <f t="shared" si="0"/>
        <v>91</v>
      </c>
      <c r="L3" s="8" t="s">
        <v>1</v>
      </c>
    </row>
    <row r="4" spans="1:13" ht="30" x14ac:dyDescent="0.25">
      <c r="A4" s="58" t="s">
        <v>0</v>
      </c>
      <c r="B4" s="58" t="s">
        <v>0</v>
      </c>
      <c r="D4" s="7">
        <f>VLOOKUP(A4, G2:I13, 3,FALSE)</f>
        <v>60</v>
      </c>
      <c r="E4" s="7">
        <f>VLOOKUP(B4, H2:J12, 3, FALSE)</f>
        <v>40</v>
      </c>
      <c r="G4" s="17" t="s">
        <v>364</v>
      </c>
      <c r="H4" s="17" t="s">
        <v>374</v>
      </c>
      <c r="I4" s="8">
        <v>50</v>
      </c>
      <c r="J4" s="8">
        <v>32</v>
      </c>
      <c r="K4" s="8">
        <f t="shared" si="0"/>
        <v>82</v>
      </c>
      <c r="L4" s="8" t="s">
        <v>1</v>
      </c>
    </row>
    <row r="5" spans="1:13" ht="30" x14ac:dyDescent="0.25">
      <c r="G5" s="17" t="s">
        <v>365</v>
      </c>
      <c r="H5" s="17" t="s">
        <v>375</v>
      </c>
      <c r="I5" s="8">
        <v>45</v>
      </c>
      <c r="J5" s="8">
        <v>28</v>
      </c>
      <c r="K5" s="8">
        <f t="shared" si="0"/>
        <v>73</v>
      </c>
      <c r="L5" s="8" t="s">
        <v>2</v>
      </c>
    </row>
    <row r="6" spans="1:13" ht="30" x14ac:dyDescent="0.25">
      <c r="G6" s="17" t="s">
        <v>366</v>
      </c>
      <c r="H6" s="17" t="s">
        <v>376</v>
      </c>
      <c r="I6" s="8">
        <v>40</v>
      </c>
      <c r="J6" s="8">
        <v>24</v>
      </c>
      <c r="K6" s="8">
        <f t="shared" si="0"/>
        <v>64</v>
      </c>
      <c r="L6" s="8" t="s">
        <v>2</v>
      </c>
    </row>
    <row r="7" spans="1:13" ht="30" x14ac:dyDescent="0.25">
      <c r="A7" s="65" t="s">
        <v>731</v>
      </c>
      <c r="B7" s="65">
        <f>IF(D4=0, 0, D4+E4)</f>
        <v>100</v>
      </c>
      <c r="G7" s="17" t="s">
        <v>367</v>
      </c>
      <c r="H7" s="17" t="s">
        <v>377</v>
      </c>
      <c r="I7" s="8">
        <v>35</v>
      </c>
      <c r="J7" s="8">
        <v>20</v>
      </c>
      <c r="K7" s="8">
        <f t="shared" si="0"/>
        <v>55</v>
      </c>
      <c r="L7" s="8" t="s">
        <v>2</v>
      </c>
    </row>
    <row r="8" spans="1:13" ht="30" x14ac:dyDescent="0.25">
      <c r="A8" s="65" t="s">
        <v>732</v>
      </c>
      <c r="B8" s="65" t="str">
        <f>IF(AND(B7&gt;=80, B7&lt;=100), "GOOD", IF(AND(B7&gt;40, B7&lt;80), "FAIR", "POOR"))</f>
        <v>GOOD</v>
      </c>
      <c r="G8" s="17" t="s">
        <v>368</v>
      </c>
      <c r="H8" s="17" t="s">
        <v>378</v>
      </c>
      <c r="I8" s="8">
        <v>30</v>
      </c>
      <c r="J8" s="8">
        <v>16</v>
      </c>
      <c r="K8" s="8">
        <f t="shared" si="0"/>
        <v>46</v>
      </c>
      <c r="L8" s="8" t="s">
        <v>3</v>
      </c>
    </row>
    <row r="9" spans="1:13" ht="30" x14ac:dyDescent="0.25">
      <c r="G9" s="17" t="s">
        <v>369</v>
      </c>
      <c r="H9" s="17" t="s">
        <v>379</v>
      </c>
      <c r="I9" s="8">
        <v>25</v>
      </c>
      <c r="J9" s="8">
        <v>12</v>
      </c>
      <c r="K9" s="8">
        <f t="shared" si="0"/>
        <v>37</v>
      </c>
      <c r="L9" s="8" t="s">
        <v>3</v>
      </c>
    </row>
    <row r="10" spans="1:13" ht="45" x14ac:dyDescent="0.25">
      <c r="G10" s="17" t="s">
        <v>370</v>
      </c>
      <c r="H10" s="17" t="s">
        <v>380</v>
      </c>
      <c r="I10" s="8">
        <v>20</v>
      </c>
      <c r="J10" s="8">
        <v>8</v>
      </c>
      <c r="K10" s="8">
        <f t="shared" si="0"/>
        <v>28</v>
      </c>
      <c r="L10" s="8" t="s">
        <v>3</v>
      </c>
    </row>
    <row r="11" spans="1:13" ht="45" x14ac:dyDescent="0.25">
      <c r="G11" s="17" t="s">
        <v>371</v>
      </c>
      <c r="H11" s="17" t="s">
        <v>381</v>
      </c>
      <c r="I11" s="8">
        <v>10</v>
      </c>
      <c r="J11" s="8">
        <v>4</v>
      </c>
      <c r="K11" s="8">
        <f t="shared" si="0"/>
        <v>14</v>
      </c>
      <c r="L11" s="8" t="s">
        <v>3</v>
      </c>
    </row>
    <row r="12" spans="1:13" ht="30" x14ac:dyDescent="0.25">
      <c r="G12" s="17" t="s">
        <v>372</v>
      </c>
      <c r="H12" s="17" t="s">
        <v>382</v>
      </c>
      <c r="I12" s="8">
        <v>0</v>
      </c>
      <c r="J12" s="8">
        <v>0</v>
      </c>
      <c r="K12" s="8">
        <f t="shared" si="0"/>
        <v>0</v>
      </c>
      <c r="L12" s="8" t="s">
        <v>3</v>
      </c>
    </row>
  </sheetData>
  <autoFilter ref="G1:L12" xr:uid="{A2270AC0-9C86-4039-AB78-EDFAA814AC06}">
    <sortState xmlns:xlrd2="http://schemas.microsoft.com/office/spreadsheetml/2017/richdata2" ref="G2:L12">
      <sortCondition descending="1" ref="K1:K12"/>
    </sortState>
  </autoFilter>
  <mergeCells count="1">
    <mergeCell ref="A1:B1"/>
  </mergeCells>
  <dataValidations count="3">
    <dataValidation type="list" allowBlank="1" showInputMessage="1" showErrorMessage="1" sqref="A5" xr:uid="{51752874-7880-4768-8344-FFD24F2ACBF4}">
      <formula1>$J$5:$J$13</formula1>
    </dataValidation>
    <dataValidation type="list" allowBlank="1" showInputMessage="1" showErrorMessage="1" sqref="A4" xr:uid="{C41B62F6-4AA5-4E22-A0C0-A07FB77873EB}">
      <formula1>$G$2:$G$12</formula1>
    </dataValidation>
    <dataValidation type="list" allowBlank="1" showInputMessage="1" showErrorMessage="1" sqref="B4" xr:uid="{0820AB6F-8293-4794-ACC3-011F11B5C074}">
      <formula1>$H$2:$H$12</formula1>
    </dataValidation>
  </dataValidation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E9370E-E62F-4F2A-B4DE-B64307520C4D}">
  <sheetPr>
    <tabColor rgb="FF92D050"/>
  </sheetPr>
  <dimension ref="A1:J12"/>
  <sheetViews>
    <sheetView workbookViewId="0">
      <selection activeCell="G26" sqref="G26"/>
    </sheetView>
  </sheetViews>
  <sheetFormatPr defaultRowHeight="15" x14ac:dyDescent="0.25"/>
  <cols>
    <col min="1" max="1" width="52.85546875" customWidth="1"/>
    <col min="2" max="2" width="22.85546875" customWidth="1"/>
    <col min="7" max="7" width="68.42578125" bestFit="1" customWidth="1"/>
    <col min="8" max="8" width="19.7109375" bestFit="1" customWidth="1"/>
    <col min="9" max="9" width="7" bestFit="1" customWidth="1"/>
    <col min="10" max="10" width="10.28515625" bestFit="1" customWidth="1"/>
  </cols>
  <sheetData>
    <row r="1" spans="1:10" s="15" customFormat="1" ht="24" x14ac:dyDescent="0.4">
      <c r="A1" s="78" t="s">
        <v>735</v>
      </c>
      <c r="B1" s="78"/>
      <c r="C1"/>
      <c r="D1"/>
      <c r="G1" s="16" t="s">
        <v>9</v>
      </c>
      <c r="H1" s="16" t="s">
        <v>7</v>
      </c>
      <c r="I1" s="16" t="s">
        <v>104</v>
      </c>
      <c r="J1" s="16" t="s">
        <v>4</v>
      </c>
    </row>
    <row r="2" spans="1:10" s="15" customFormat="1" x14ac:dyDescent="0.25">
      <c r="A2"/>
      <c r="B2"/>
      <c r="C2"/>
      <c r="D2"/>
      <c r="G2" s="2" t="s">
        <v>0</v>
      </c>
      <c r="H2" s="8">
        <v>100</v>
      </c>
      <c r="I2" s="8">
        <f t="shared" ref="I2:I12" si="0">H2</f>
        <v>100</v>
      </c>
      <c r="J2" s="8" t="s">
        <v>1</v>
      </c>
    </row>
    <row r="3" spans="1:10" x14ac:dyDescent="0.25">
      <c r="A3" s="16" t="s">
        <v>438</v>
      </c>
      <c r="B3" s="14"/>
      <c r="D3" s="39" t="s">
        <v>428</v>
      </c>
      <c r="G3" s="2" t="s">
        <v>327</v>
      </c>
      <c r="H3" s="8">
        <v>90</v>
      </c>
      <c r="I3" s="8">
        <f t="shared" si="0"/>
        <v>90</v>
      </c>
      <c r="J3" s="8" t="s">
        <v>1</v>
      </c>
    </row>
    <row r="4" spans="1:10" x14ac:dyDescent="0.25">
      <c r="A4" s="58" t="s">
        <v>0</v>
      </c>
      <c r="B4" s="42"/>
      <c r="D4" s="7">
        <f>VLOOKUP(A4,G2:I12, 3,FALSE)</f>
        <v>100</v>
      </c>
      <c r="G4" s="68" t="s">
        <v>323</v>
      </c>
      <c r="H4" s="8">
        <v>80</v>
      </c>
      <c r="I4" s="8">
        <f t="shared" si="0"/>
        <v>80</v>
      </c>
      <c r="J4" s="8" t="s">
        <v>1</v>
      </c>
    </row>
    <row r="5" spans="1:10" x14ac:dyDescent="0.25">
      <c r="G5" s="2" t="s">
        <v>328</v>
      </c>
      <c r="H5" s="8">
        <v>70</v>
      </c>
      <c r="I5" s="8">
        <f t="shared" si="0"/>
        <v>70</v>
      </c>
      <c r="J5" s="8" t="s">
        <v>2</v>
      </c>
    </row>
    <row r="6" spans="1:10" x14ac:dyDescent="0.25">
      <c r="G6" s="2" t="s">
        <v>324</v>
      </c>
      <c r="H6" s="8">
        <v>60</v>
      </c>
      <c r="I6" s="8">
        <f t="shared" si="0"/>
        <v>60</v>
      </c>
      <c r="J6" s="8" t="s">
        <v>2</v>
      </c>
    </row>
    <row r="7" spans="1:10" x14ac:dyDescent="0.25">
      <c r="A7" s="44" t="s">
        <v>736</v>
      </c>
      <c r="B7" s="44">
        <f>D4</f>
        <v>100</v>
      </c>
      <c r="G7" s="2" t="s">
        <v>329</v>
      </c>
      <c r="H7" s="8">
        <v>50</v>
      </c>
      <c r="I7" s="8">
        <f t="shared" si="0"/>
        <v>50</v>
      </c>
      <c r="J7" s="8" t="s">
        <v>2</v>
      </c>
    </row>
    <row r="8" spans="1:10" x14ac:dyDescent="0.25">
      <c r="A8" s="44" t="s">
        <v>737</v>
      </c>
      <c r="B8" s="44" t="str">
        <f>IF(AND(B7&gt;=80, B7&lt;=100), "GOOD", IF(AND(B7&gt;40, B7&lt;80), "FAIR", "POOR"))</f>
        <v>GOOD</v>
      </c>
      <c r="G8" s="2" t="s">
        <v>325</v>
      </c>
      <c r="H8" s="8">
        <v>40</v>
      </c>
      <c r="I8" s="8">
        <f t="shared" si="0"/>
        <v>40</v>
      </c>
      <c r="J8" s="8" t="s">
        <v>3</v>
      </c>
    </row>
    <row r="9" spans="1:10" x14ac:dyDescent="0.25">
      <c r="G9" s="2" t="s">
        <v>330</v>
      </c>
      <c r="H9" s="8">
        <v>30</v>
      </c>
      <c r="I9" s="8">
        <f t="shared" si="0"/>
        <v>30</v>
      </c>
      <c r="J9" s="8" t="s">
        <v>3</v>
      </c>
    </row>
    <row r="10" spans="1:10" x14ac:dyDescent="0.25">
      <c r="G10" s="2" t="s">
        <v>326</v>
      </c>
      <c r="H10" s="8">
        <v>20</v>
      </c>
      <c r="I10" s="8">
        <f t="shared" si="0"/>
        <v>20</v>
      </c>
      <c r="J10" s="8" t="s">
        <v>3</v>
      </c>
    </row>
    <row r="11" spans="1:10" x14ac:dyDescent="0.25">
      <c r="G11" s="2" t="s">
        <v>331</v>
      </c>
      <c r="H11" s="8">
        <v>10</v>
      </c>
      <c r="I11" s="8">
        <f t="shared" si="0"/>
        <v>10</v>
      </c>
      <c r="J11" s="8" t="s">
        <v>3</v>
      </c>
    </row>
    <row r="12" spans="1:10" x14ac:dyDescent="0.25">
      <c r="G12" s="2" t="s">
        <v>332</v>
      </c>
      <c r="H12" s="8">
        <v>0</v>
      </c>
      <c r="I12" s="8">
        <f t="shared" si="0"/>
        <v>0</v>
      </c>
      <c r="J12" s="8" t="s">
        <v>3</v>
      </c>
    </row>
  </sheetData>
  <autoFilter ref="G1:J12" xr:uid="{86E9370E-E62F-4F2A-B4DE-B64307520C4D}">
    <sortState xmlns:xlrd2="http://schemas.microsoft.com/office/spreadsheetml/2017/richdata2" ref="G2:J12">
      <sortCondition descending="1" ref="I1:I12"/>
    </sortState>
  </autoFilter>
  <mergeCells count="1">
    <mergeCell ref="A1:B1"/>
  </mergeCells>
  <dataValidations count="2">
    <dataValidation type="list" allowBlank="1" showInputMessage="1" showErrorMessage="1" sqref="A4" xr:uid="{DB4F06F2-F82F-4BF5-B846-2727153A6D01}">
      <formula1>$G$2:$G$12</formula1>
    </dataValidation>
    <dataValidation type="list" allowBlank="1" showInputMessage="1" showErrorMessage="1" sqref="A5" xr:uid="{A48584CB-1C6D-410E-AF8F-455596449C2E}">
      <formula1>$G$4:$G$12</formula1>
    </dataValidation>
  </dataValidation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4A442E-6263-4352-918D-CC4266497B94}">
  <sheetPr>
    <tabColor rgb="FF92D050"/>
  </sheetPr>
  <dimension ref="A1:AY32"/>
  <sheetViews>
    <sheetView zoomScaleNormal="100" workbookViewId="0">
      <selection activeCell="B25" sqref="B25"/>
    </sheetView>
  </sheetViews>
  <sheetFormatPr defaultRowHeight="15" x14ac:dyDescent="0.25"/>
  <cols>
    <col min="1" max="1" width="25.42578125" customWidth="1"/>
    <col min="2" max="2" width="23.5703125" bestFit="1" customWidth="1"/>
    <col min="3" max="3" width="19.7109375" customWidth="1"/>
    <col min="4" max="4" width="28.5703125" customWidth="1"/>
    <col min="5" max="5" width="17.7109375" customWidth="1"/>
    <col min="13" max="18" width="9.140625" customWidth="1"/>
    <col min="19" max="19" width="36.42578125" customWidth="1"/>
    <col min="20" max="20" width="82.42578125" customWidth="1"/>
    <col min="21" max="21" width="18.28515625" customWidth="1"/>
    <col min="22" max="22" width="18.85546875" customWidth="1"/>
    <col min="23" max="23" width="10.140625" customWidth="1"/>
    <col min="24" max="24" width="10.28515625" customWidth="1"/>
    <col min="25" max="26" width="9.140625" style="7" customWidth="1"/>
    <col min="27" max="27" width="9.140625" style="7"/>
    <col min="43" max="43" width="18.28515625" bestFit="1" customWidth="1"/>
    <col min="44" max="44" width="15" bestFit="1" customWidth="1"/>
  </cols>
  <sheetData>
    <row r="1" spans="1:51" ht="24" x14ac:dyDescent="0.4">
      <c r="A1" s="80" t="s">
        <v>740</v>
      </c>
      <c r="B1" s="80"/>
      <c r="C1" s="80"/>
      <c r="D1" s="80"/>
      <c r="E1" s="50"/>
      <c r="I1" s="12"/>
    </row>
    <row r="2" spans="1:51" x14ac:dyDescent="0.25">
      <c r="I2" s="7"/>
      <c r="T2" t="s">
        <v>738</v>
      </c>
      <c r="AD2" t="s">
        <v>739</v>
      </c>
    </row>
    <row r="3" spans="1:51" ht="24.95" customHeight="1" x14ac:dyDescent="0.25">
      <c r="A3" s="81" t="s">
        <v>746</v>
      </c>
      <c r="B3" s="81"/>
      <c r="C3" s="81"/>
      <c r="D3" s="81"/>
      <c r="E3" s="81"/>
      <c r="G3" s="39"/>
      <c r="H3" s="39"/>
    </row>
    <row r="4" spans="1:51" s="14" customFormat="1" ht="24.95" customHeight="1" x14ac:dyDescent="0.25">
      <c r="A4" s="92" t="s">
        <v>741</v>
      </c>
      <c r="B4" s="92"/>
      <c r="C4" s="92"/>
      <c r="D4" s="92"/>
      <c r="E4" s="70"/>
      <c r="F4"/>
      <c r="G4" s="1"/>
      <c r="H4" s="1"/>
      <c r="I4"/>
      <c r="S4" s="16" t="s">
        <v>80</v>
      </c>
      <c r="T4" s="16" t="s">
        <v>79</v>
      </c>
      <c r="U4" s="16" t="s">
        <v>102</v>
      </c>
      <c r="V4" s="16" t="s">
        <v>103</v>
      </c>
      <c r="W4" s="16" t="s">
        <v>106</v>
      </c>
      <c r="X4" s="16" t="s">
        <v>4</v>
      </c>
      <c r="Y4" s="7"/>
      <c r="Z4" s="16" t="s">
        <v>9</v>
      </c>
      <c r="AA4" s="16" t="s">
        <v>8</v>
      </c>
      <c r="AB4" s="16" t="s">
        <v>7</v>
      </c>
      <c r="AC4" s="16" t="s">
        <v>6</v>
      </c>
      <c r="AD4" s="16" t="s">
        <v>5</v>
      </c>
      <c r="AE4" s="16" t="s">
        <v>4</v>
      </c>
      <c r="AG4" s="54" t="s">
        <v>605</v>
      </c>
      <c r="AH4" s="54" t="s">
        <v>606</v>
      </c>
      <c r="AI4" s="54" t="s">
        <v>534</v>
      </c>
      <c r="AJ4" s="54" t="s">
        <v>613</v>
      </c>
      <c r="AK4" s="56" t="s">
        <v>612</v>
      </c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</row>
    <row r="5" spans="1:51" s="14" customFormat="1" ht="44.25" customHeight="1" x14ac:dyDescent="0.25">
      <c r="A5" s="60" t="s">
        <v>617</v>
      </c>
      <c r="B5" s="60" t="s">
        <v>618</v>
      </c>
      <c r="C5" s="32" t="s">
        <v>619</v>
      </c>
      <c r="D5" s="32" t="s">
        <v>522</v>
      </c>
      <c r="E5" s="32" t="s">
        <v>525</v>
      </c>
      <c r="F5" s="52" t="s">
        <v>538</v>
      </c>
      <c r="G5" s="63" t="s">
        <v>415</v>
      </c>
      <c r="H5" s="63" t="s">
        <v>416</v>
      </c>
      <c r="I5"/>
      <c r="S5" s="34" t="s">
        <v>0</v>
      </c>
      <c r="T5" s="34" t="s">
        <v>0</v>
      </c>
      <c r="U5" s="21">
        <v>50</v>
      </c>
      <c r="V5" s="21">
        <v>50</v>
      </c>
      <c r="W5" s="21">
        <f t="shared" ref="W5:W15" si="0">U5+V5</f>
        <v>100</v>
      </c>
      <c r="X5" s="20" t="s">
        <v>1</v>
      </c>
      <c r="Y5" s="7"/>
      <c r="Z5" s="2" t="s">
        <v>0</v>
      </c>
      <c r="AA5" s="2" t="s">
        <v>0</v>
      </c>
      <c r="AB5" s="8">
        <v>80</v>
      </c>
      <c r="AC5" s="8">
        <v>20</v>
      </c>
      <c r="AD5" s="8">
        <f t="shared" ref="AD5:AD15" si="1">AB5+AC5</f>
        <v>100</v>
      </c>
      <c r="AE5" s="10" t="s">
        <v>1</v>
      </c>
      <c r="AG5" s="55">
        <v>0.2</v>
      </c>
      <c r="AH5" s="55">
        <v>-40</v>
      </c>
      <c r="AI5" s="57" t="s">
        <v>535</v>
      </c>
      <c r="AJ5" s="2" t="str">
        <f>CONCATENATE(AG5,AH5,AI5)</f>
        <v>0.2-40White</v>
      </c>
      <c r="AK5" s="55">
        <v>360</v>
      </c>
      <c r="AL5" s="7"/>
      <c r="AM5" s="7"/>
      <c r="AN5" s="7"/>
      <c r="AO5" s="7"/>
      <c r="AP5" s="7"/>
      <c r="AQ5" s="54" t="s">
        <v>605</v>
      </c>
      <c r="AR5" s="54" t="s">
        <v>606</v>
      </c>
      <c r="AS5" s="54" t="s">
        <v>535</v>
      </c>
      <c r="AT5" s="54" t="s">
        <v>536</v>
      </c>
      <c r="AU5" s="54" t="s">
        <v>607</v>
      </c>
      <c r="AV5" s="54" t="s">
        <v>608</v>
      </c>
      <c r="AW5" s="54" t="s">
        <v>609</v>
      </c>
      <c r="AX5" s="54" t="s">
        <v>610</v>
      </c>
      <c r="AY5" s="54" t="s">
        <v>611</v>
      </c>
    </row>
    <row r="6" spans="1:51" ht="21" x14ac:dyDescent="0.25">
      <c r="A6" s="58">
        <v>0.2</v>
      </c>
      <c r="B6" s="58">
        <v>-40</v>
      </c>
      <c r="C6" s="58" t="s">
        <v>535</v>
      </c>
      <c r="D6" s="58">
        <v>200</v>
      </c>
      <c r="E6" s="58" t="s">
        <v>0</v>
      </c>
      <c r="F6" t="str">
        <f>CONCATENATE(A6,B6,C6)</f>
        <v>0.2-40White</v>
      </c>
      <c r="G6" s="7">
        <f>ROUND(50*(D6/VLOOKUP(F6, AJ4:AK32, 2,FALSE)), 0)</f>
        <v>28</v>
      </c>
      <c r="H6" s="7">
        <f>VLOOKUP(E6, T5:V15, 3, FALSE)</f>
        <v>50</v>
      </c>
      <c r="S6" s="34" t="s">
        <v>60</v>
      </c>
      <c r="T6" s="34" t="s">
        <v>92</v>
      </c>
      <c r="U6" s="21">
        <v>45</v>
      </c>
      <c r="V6" s="21">
        <v>45</v>
      </c>
      <c r="W6" s="21">
        <f t="shared" si="0"/>
        <v>90</v>
      </c>
      <c r="X6" s="20" t="s">
        <v>1</v>
      </c>
      <c r="Z6" s="2" t="s">
        <v>101</v>
      </c>
      <c r="AA6" s="2" t="s">
        <v>81</v>
      </c>
      <c r="AB6" s="8">
        <v>72</v>
      </c>
      <c r="AC6" s="8">
        <v>18</v>
      </c>
      <c r="AD6" s="8">
        <f t="shared" si="1"/>
        <v>90</v>
      </c>
      <c r="AE6" s="10" t="s">
        <v>1</v>
      </c>
      <c r="AG6" s="55">
        <v>0.2</v>
      </c>
      <c r="AH6" s="55">
        <v>-40</v>
      </c>
      <c r="AI6" s="57" t="s">
        <v>536</v>
      </c>
      <c r="AJ6" s="2" t="str">
        <f t="shared" ref="AJ6:AJ32" si="2">CONCATENATE(AG6,AH6,AI6)</f>
        <v>0.2-40Yellow</v>
      </c>
      <c r="AK6" s="55">
        <v>270</v>
      </c>
      <c r="AQ6" s="55">
        <v>0.2</v>
      </c>
      <c r="AR6" s="55">
        <v>-40</v>
      </c>
      <c r="AS6" s="55">
        <v>360</v>
      </c>
      <c r="AT6" s="55">
        <v>270</v>
      </c>
      <c r="AU6" s="55">
        <v>145</v>
      </c>
      <c r="AV6" s="55">
        <v>50</v>
      </c>
      <c r="AW6" s="55">
        <v>65</v>
      </c>
      <c r="AX6" s="55">
        <v>30</v>
      </c>
      <c r="AY6" s="55">
        <v>18</v>
      </c>
    </row>
    <row r="7" spans="1:51" ht="21" x14ac:dyDescent="0.25">
      <c r="S7" s="34" t="s">
        <v>62</v>
      </c>
      <c r="T7" s="34" t="s">
        <v>61</v>
      </c>
      <c r="U7" s="21">
        <v>40</v>
      </c>
      <c r="V7" s="21">
        <v>40</v>
      </c>
      <c r="W7" s="21">
        <f t="shared" si="0"/>
        <v>80</v>
      </c>
      <c r="X7" s="20" t="s">
        <v>1</v>
      </c>
      <c r="Z7" s="2" t="s">
        <v>100</v>
      </c>
      <c r="AA7" s="2" t="s">
        <v>82</v>
      </c>
      <c r="AB7" s="8">
        <v>64</v>
      </c>
      <c r="AC7" s="8">
        <v>16</v>
      </c>
      <c r="AD7" s="8">
        <f t="shared" si="1"/>
        <v>80</v>
      </c>
      <c r="AE7" s="10" t="s">
        <v>1</v>
      </c>
      <c r="AG7" s="55">
        <v>0.2</v>
      </c>
      <c r="AH7" s="55">
        <v>-40</v>
      </c>
      <c r="AI7" s="57" t="s">
        <v>607</v>
      </c>
      <c r="AJ7" s="2" t="str">
        <f t="shared" si="2"/>
        <v>0.2-40Orange</v>
      </c>
      <c r="AK7" s="55">
        <v>145</v>
      </c>
      <c r="AQ7" s="55">
        <v>0.2</v>
      </c>
      <c r="AR7" s="55">
        <v>300</v>
      </c>
      <c r="AS7" s="55">
        <v>170</v>
      </c>
      <c r="AT7" s="55">
        <v>135</v>
      </c>
      <c r="AU7" s="55">
        <v>68</v>
      </c>
      <c r="AV7" s="55">
        <v>25</v>
      </c>
      <c r="AW7" s="55">
        <v>30</v>
      </c>
      <c r="AX7" s="55">
        <v>14</v>
      </c>
      <c r="AY7" s="55">
        <v>8.5</v>
      </c>
    </row>
    <row r="8" spans="1:51" ht="21" x14ac:dyDescent="0.25">
      <c r="A8" s="93" t="s">
        <v>742</v>
      </c>
      <c r="B8" s="93"/>
      <c r="C8" s="92"/>
      <c r="D8" s="92"/>
      <c r="S8" s="34" t="s">
        <v>64</v>
      </c>
      <c r="T8" s="34" t="s">
        <v>63</v>
      </c>
      <c r="U8" s="21">
        <v>35</v>
      </c>
      <c r="V8" s="21">
        <v>35</v>
      </c>
      <c r="W8" s="21">
        <f t="shared" si="0"/>
        <v>70</v>
      </c>
      <c r="X8" s="20" t="s">
        <v>2</v>
      </c>
      <c r="Z8" s="2" t="s">
        <v>99</v>
      </c>
      <c r="AA8" s="2" t="s">
        <v>83</v>
      </c>
      <c r="AB8" s="8">
        <v>56</v>
      </c>
      <c r="AC8" s="8">
        <v>14</v>
      </c>
      <c r="AD8" s="8">
        <f t="shared" si="1"/>
        <v>70</v>
      </c>
      <c r="AE8" s="10" t="s">
        <v>2</v>
      </c>
      <c r="AG8" s="55">
        <v>0.2</v>
      </c>
      <c r="AH8" s="55">
        <v>-40</v>
      </c>
      <c r="AI8" s="57" t="s">
        <v>608</v>
      </c>
      <c r="AJ8" s="2" t="str">
        <f t="shared" si="2"/>
        <v>0.2-40Green</v>
      </c>
      <c r="AK8" s="55">
        <v>50</v>
      </c>
      <c r="AQ8" s="55">
        <v>0.5</v>
      </c>
      <c r="AR8" s="55">
        <v>-40</v>
      </c>
      <c r="AS8" s="55">
        <v>150</v>
      </c>
      <c r="AT8" s="55">
        <v>110</v>
      </c>
      <c r="AU8" s="55">
        <v>60</v>
      </c>
      <c r="AV8" s="55">
        <v>21</v>
      </c>
      <c r="AW8" s="55">
        <v>27</v>
      </c>
      <c r="AX8" s="55">
        <v>13</v>
      </c>
      <c r="AY8" s="55">
        <v>7.5</v>
      </c>
    </row>
    <row r="9" spans="1:51" ht="21" x14ac:dyDescent="0.25">
      <c r="A9" s="32" t="s">
        <v>413</v>
      </c>
      <c r="B9" s="32" t="s">
        <v>525</v>
      </c>
      <c r="C9" s="59"/>
      <c r="D9" s="59"/>
      <c r="E9" s="59"/>
      <c r="S9" s="34" t="s">
        <v>66</v>
      </c>
      <c r="T9" s="34" t="s">
        <v>65</v>
      </c>
      <c r="U9" s="21">
        <v>30</v>
      </c>
      <c r="V9" s="21">
        <v>30</v>
      </c>
      <c r="W9" s="21">
        <f t="shared" si="0"/>
        <v>60</v>
      </c>
      <c r="X9" s="20" t="s">
        <v>2</v>
      </c>
      <c r="Z9" s="2" t="s">
        <v>98</v>
      </c>
      <c r="AA9" s="2" t="s">
        <v>84</v>
      </c>
      <c r="AB9" s="8">
        <v>48</v>
      </c>
      <c r="AC9" s="8">
        <v>12</v>
      </c>
      <c r="AD9" s="8">
        <f t="shared" si="1"/>
        <v>60</v>
      </c>
      <c r="AE9" s="10" t="s">
        <v>2</v>
      </c>
      <c r="AG9" s="55">
        <v>0.2</v>
      </c>
      <c r="AH9" s="55">
        <v>-40</v>
      </c>
      <c r="AI9" s="57" t="s">
        <v>609</v>
      </c>
      <c r="AJ9" s="2" t="str">
        <f t="shared" si="2"/>
        <v>0.2-40Red</v>
      </c>
      <c r="AK9" s="55">
        <v>65</v>
      </c>
      <c r="AQ9" s="55">
        <v>0.5</v>
      </c>
      <c r="AR9" s="55">
        <v>300</v>
      </c>
      <c r="AS9" s="55">
        <v>72</v>
      </c>
      <c r="AT9" s="55">
        <v>54</v>
      </c>
      <c r="AU9" s="55">
        <v>28</v>
      </c>
      <c r="AV9" s="55">
        <v>10</v>
      </c>
      <c r="AW9" s="55">
        <v>13</v>
      </c>
      <c r="AX9" s="55">
        <v>6</v>
      </c>
      <c r="AY9" s="55">
        <v>3.5</v>
      </c>
    </row>
    <row r="10" spans="1:51" ht="30" x14ac:dyDescent="0.25">
      <c r="A10" s="58" t="s">
        <v>70</v>
      </c>
      <c r="B10" s="8" t="s">
        <v>65</v>
      </c>
      <c r="C10" s="7"/>
      <c r="D10" s="42"/>
      <c r="E10" s="42"/>
      <c r="S10" s="34" t="s">
        <v>68</v>
      </c>
      <c r="T10" s="34" t="s">
        <v>67</v>
      </c>
      <c r="U10" s="21">
        <v>25</v>
      </c>
      <c r="V10" s="21">
        <v>25</v>
      </c>
      <c r="W10" s="21">
        <f t="shared" si="0"/>
        <v>50</v>
      </c>
      <c r="X10" s="20" t="s">
        <v>2</v>
      </c>
      <c r="Z10" s="2" t="s">
        <v>97</v>
      </c>
      <c r="AA10" s="2" t="s">
        <v>85</v>
      </c>
      <c r="AB10" s="8">
        <v>40</v>
      </c>
      <c r="AC10" s="8">
        <v>10</v>
      </c>
      <c r="AD10" s="8">
        <f t="shared" si="1"/>
        <v>50</v>
      </c>
      <c r="AE10" s="10" t="s">
        <v>2</v>
      </c>
      <c r="AG10" s="55">
        <v>0.2</v>
      </c>
      <c r="AH10" s="55">
        <v>-40</v>
      </c>
      <c r="AI10" s="57" t="s">
        <v>610</v>
      </c>
      <c r="AJ10" s="2" t="str">
        <f t="shared" si="2"/>
        <v>0.2-40Blue</v>
      </c>
      <c r="AK10" s="55">
        <v>30</v>
      </c>
    </row>
    <row r="11" spans="1:51" ht="21" x14ac:dyDescent="0.25">
      <c r="G11" s="39" t="s">
        <v>415</v>
      </c>
      <c r="H11" s="39" t="s">
        <v>416</v>
      </c>
      <c r="S11" s="34" t="s">
        <v>70</v>
      </c>
      <c r="T11" s="34" t="s">
        <v>69</v>
      </c>
      <c r="U11" s="21">
        <v>20</v>
      </c>
      <c r="V11" s="21">
        <v>20</v>
      </c>
      <c r="W11" s="21">
        <f t="shared" si="0"/>
        <v>40</v>
      </c>
      <c r="X11" s="20" t="s">
        <v>3</v>
      </c>
      <c r="Z11" s="2" t="s">
        <v>96</v>
      </c>
      <c r="AA11" s="2" t="s">
        <v>86</v>
      </c>
      <c r="AB11" s="8">
        <v>32</v>
      </c>
      <c r="AC11" s="8">
        <v>8</v>
      </c>
      <c r="AD11" s="8">
        <f t="shared" si="1"/>
        <v>40</v>
      </c>
      <c r="AE11" s="10" t="s">
        <v>3</v>
      </c>
      <c r="AG11" s="55">
        <v>0.2</v>
      </c>
      <c r="AH11" s="55">
        <v>-40</v>
      </c>
      <c r="AI11" s="57" t="s">
        <v>611</v>
      </c>
      <c r="AJ11" s="2" t="str">
        <f t="shared" si="2"/>
        <v>0.2-40Brown</v>
      </c>
      <c r="AK11" s="55">
        <v>18</v>
      </c>
    </row>
    <row r="12" spans="1:51" ht="21" x14ac:dyDescent="0.25">
      <c r="A12" s="71" t="s">
        <v>743</v>
      </c>
      <c r="B12" s="72">
        <f>IF(NOT(ISBLANK(D6)), IF(G6=0, 0, G6+H6), IF(G12=0, 0, G12+H12))</f>
        <v>78</v>
      </c>
      <c r="G12" s="7">
        <f>VLOOKUP(A10, S5:U15, 3, FALSE)</f>
        <v>20</v>
      </c>
      <c r="H12" s="7">
        <f>VLOOKUP(B10, T5:V15, 3, FALSE)</f>
        <v>30</v>
      </c>
      <c r="S12" s="34" t="s">
        <v>72</v>
      </c>
      <c r="T12" s="34" t="s">
        <v>71</v>
      </c>
      <c r="U12" s="21">
        <v>15</v>
      </c>
      <c r="V12" s="21">
        <v>15</v>
      </c>
      <c r="W12" s="21">
        <f t="shared" si="0"/>
        <v>30</v>
      </c>
      <c r="X12" s="20" t="s">
        <v>3</v>
      </c>
      <c r="Z12" s="2" t="s">
        <v>95</v>
      </c>
      <c r="AA12" s="2" t="s">
        <v>87</v>
      </c>
      <c r="AB12" s="8">
        <v>24</v>
      </c>
      <c r="AC12" s="8">
        <v>6</v>
      </c>
      <c r="AD12" s="8">
        <f t="shared" si="1"/>
        <v>30</v>
      </c>
      <c r="AE12" s="10" t="s">
        <v>3</v>
      </c>
      <c r="AG12" s="55">
        <v>0.2</v>
      </c>
      <c r="AH12" s="55">
        <v>300</v>
      </c>
      <c r="AI12" s="57" t="s">
        <v>535</v>
      </c>
      <c r="AJ12" s="2" t="str">
        <f t="shared" si="2"/>
        <v>0.2300White</v>
      </c>
      <c r="AK12" s="55">
        <v>170</v>
      </c>
    </row>
    <row r="13" spans="1:51" ht="21" x14ac:dyDescent="0.25">
      <c r="A13" s="71" t="s">
        <v>744</v>
      </c>
      <c r="B13" s="72" t="str">
        <f>IF(AND(B12&gt;=80, B12&lt;=100), "GOOD", IF(AND(B12&gt;40, B12&lt;80), "FAIR", "POOR"))</f>
        <v>FAIR</v>
      </c>
      <c r="S13" s="34" t="s">
        <v>74</v>
      </c>
      <c r="T13" s="34" t="s">
        <v>73</v>
      </c>
      <c r="U13" s="21">
        <v>10</v>
      </c>
      <c r="V13" s="21">
        <v>10</v>
      </c>
      <c r="W13" s="21">
        <f t="shared" si="0"/>
        <v>20</v>
      </c>
      <c r="X13" s="20" t="s">
        <v>3</v>
      </c>
      <c r="Z13" s="2" t="s">
        <v>94</v>
      </c>
      <c r="AA13" s="2" t="s">
        <v>88</v>
      </c>
      <c r="AB13" s="8">
        <v>16</v>
      </c>
      <c r="AC13" s="8">
        <v>4</v>
      </c>
      <c r="AD13" s="8">
        <f t="shared" si="1"/>
        <v>20</v>
      </c>
      <c r="AE13" s="10" t="s">
        <v>3</v>
      </c>
      <c r="AG13" s="55">
        <v>0.2</v>
      </c>
      <c r="AH13" s="55">
        <v>300</v>
      </c>
      <c r="AI13" s="57" t="s">
        <v>536</v>
      </c>
      <c r="AJ13" s="2" t="str">
        <f t="shared" si="2"/>
        <v>0.2300Yellow</v>
      </c>
      <c r="AK13" s="55">
        <v>135</v>
      </c>
    </row>
    <row r="14" spans="1:51" ht="21" x14ac:dyDescent="0.25">
      <c r="S14" s="34" t="s">
        <v>76</v>
      </c>
      <c r="T14" s="34" t="s">
        <v>75</v>
      </c>
      <c r="U14" s="21">
        <v>5</v>
      </c>
      <c r="V14" s="21">
        <v>5</v>
      </c>
      <c r="W14" s="21">
        <f t="shared" si="0"/>
        <v>10</v>
      </c>
      <c r="X14" s="20" t="s">
        <v>3</v>
      </c>
      <c r="Z14" s="2" t="s">
        <v>93</v>
      </c>
      <c r="AA14" s="2" t="s">
        <v>89</v>
      </c>
      <c r="AB14" s="8">
        <v>8</v>
      </c>
      <c r="AC14" s="8">
        <v>2</v>
      </c>
      <c r="AD14" s="8">
        <f t="shared" si="1"/>
        <v>10</v>
      </c>
      <c r="AE14" s="10" t="s">
        <v>3</v>
      </c>
      <c r="AG14" s="55">
        <v>0.2</v>
      </c>
      <c r="AH14" s="55">
        <v>300</v>
      </c>
      <c r="AI14" s="57" t="s">
        <v>607</v>
      </c>
      <c r="AJ14" s="2" t="str">
        <f t="shared" si="2"/>
        <v>0.2300Orange</v>
      </c>
      <c r="AK14" s="55">
        <v>68</v>
      </c>
    </row>
    <row r="15" spans="1:51" ht="21" x14ac:dyDescent="0.25">
      <c r="S15" s="34" t="s">
        <v>78</v>
      </c>
      <c r="T15" s="34" t="s">
        <v>77</v>
      </c>
      <c r="U15" s="21">
        <v>0</v>
      </c>
      <c r="V15" s="21">
        <v>0</v>
      </c>
      <c r="W15" s="21">
        <f t="shared" si="0"/>
        <v>0</v>
      </c>
      <c r="X15" s="20" t="s">
        <v>3</v>
      </c>
      <c r="Z15" s="2" t="s">
        <v>91</v>
      </c>
      <c r="AA15" s="2" t="s">
        <v>90</v>
      </c>
      <c r="AB15" s="8">
        <v>0</v>
      </c>
      <c r="AC15" s="8">
        <v>0</v>
      </c>
      <c r="AD15" s="8">
        <f t="shared" si="1"/>
        <v>0</v>
      </c>
      <c r="AE15" s="10" t="s">
        <v>3</v>
      </c>
      <c r="AG15" s="55">
        <v>0.2</v>
      </c>
      <c r="AH15" s="55">
        <v>300</v>
      </c>
      <c r="AI15" s="57" t="s">
        <v>608</v>
      </c>
      <c r="AJ15" s="2" t="str">
        <f t="shared" si="2"/>
        <v>0.2300Green</v>
      </c>
      <c r="AK15" s="55">
        <v>25</v>
      </c>
    </row>
    <row r="16" spans="1:51" ht="21" x14ac:dyDescent="0.25">
      <c r="A16" s="81" t="s">
        <v>745</v>
      </c>
      <c r="B16" s="81"/>
      <c r="C16" s="81"/>
      <c r="D16" s="81"/>
      <c r="E16" s="81"/>
      <c r="S16" s="69"/>
      <c r="T16" s="69"/>
      <c r="U16" s="14"/>
      <c r="V16" s="14"/>
      <c r="W16" s="14"/>
      <c r="X16" s="14"/>
      <c r="AG16" s="55">
        <v>0.2</v>
      </c>
      <c r="AH16" s="55">
        <v>300</v>
      </c>
      <c r="AI16" s="57" t="s">
        <v>609</v>
      </c>
      <c r="AJ16" s="2" t="str">
        <f t="shared" si="2"/>
        <v>0.2300Red</v>
      </c>
      <c r="AK16" s="55">
        <v>30</v>
      </c>
    </row>
    <row r="17" spans="1:37" ht="21" x14ac:dyDescent="0.25">
      <c r="G17" s="63"/>
      <c r="H17" s="63"/>
      <c r="AG17" s="55">
        <v>0.2</v>
      </c>
      <c r="AH17" s="55">
        <v>300</v>
      </c>
      <c r="AI17" s="57" t="s">
        <v>610</v>
      </c>
      <c r="AJ17" s="2" t="str">
        <f t="shared" si="2"/>
        <v>0.2300Blue</v>
      </c>
      <c r="AK17" s="55">
        <v>14</v>
      </c>
    </row>
    <row r="18" spans="1:37" ht="30" x14ac:dyDescent="0.25">
      <c r="A18" s="32" t="s">
        <v>747</v>
      </c>
      <c r="B18" s="32" t="s">
        <v>431</v>
      </c>
      <c r="C18" s="59"/>
      <c r="D18" s="59"/>
      <c r="G18" s="7"/>
      <c r="H18" s="7"/>
      <c r="S18" s="59"/>
      <c r="T18" s="59"/>
      <c r="U18" s="59"/>
      <c r="V18" s="59"/>
      <c r="AG18" s="55">
        <v>0.2</v>
      </c>
      <c r="AH18" s="55">
        <v>300</v>
      </c>
      <c r="AI18" s="57" t="s">
        <v>611</v>
      </c>
      <c r="AJ18" s="2" t="str">
        <f t="shared" si="2"/>
        <v>0.2300Brown</v>
      </c>
      <c r="AK18" s="55">
        <v>8.5</v>
      </c>
    </row>
    <row r="19" spans="1:37" ht="30" x14ac:dyDescent="0.25">
      <c r="A19" s="58" t="s">
        <v>99</v>
      </c>
      <c r="B19" s="58" t="s">
        <v>86</v>
      </c>
      <c r="C19" s="59"/>
      <c r="D19" s="59"/>
      <c r="G19" s="39" t="s">
        <v>428</v>
      </c>
      <c r="H19" s="39" t="s">
        <v>429</v>
      </c>
      <c r="AG19" s="55">
        <v>0.5</v>
      </c>
      <c r="AH19" s="55">
        <v>-40</v>
      </c>
      <c r="AI19" s="57" t="s">
        <v>535</v>
      </c>
      <c r="AJ19" s="2" t="str">
        <f t="shared" si="2"/>
        <v>0.5-40White</v>
      </c>
      <c r="AK19" s="55">
        <v>150</v>
      </c>
    </row>
    <row r="20" spans="1:37" ht="21" x14ac:dyDescent="0.25">
      <c r="C20" s="42"/>
      <c r="D20" s="42"/>
      <c r="G20" s="7">
        <f>VLOOKUP(A19, Z5:AB15, 3, FALSE)</f>
        <v>56</v>
      </c>
      <c r="H20" s="7">
        <f>VLOOKUP(B19, AA5:AC15, 3, FALSE)</f>
        <v>8</v>
      </c>
      <c r="AG20" s="55">
        <v>0.5</v>
      </c>
      <c r="AH20" s="55">
        <v>-40</v>
      </c>
      <c r="AI20" s="57" t="s">
        <v>536</v>
      </c>
      <c r="AJ20" s="2" t="str">
        <f t="shared" si="2"/>
        <v>0.5-40Yellow</v>
      </c>
      <c r="AK20" s="55">
        <v>110</v>
      </c>
    </row>
    <row r="21" spans="1:37" ht="21" x14ac:dyDescent="0.25">
      <c r="A21" s="74" t="s">
        <v>748</v>
      </c>
      <c r="B21" s="74">
        <f>IF(G20=0, 0, G20+H20)</f>
        <v>64</v>
      </c>
      <c r="AG21" s="55">
        <v>0.5</v>
      </c>
      <c r="AH21" s="55">
        <v>-40</v>
      </c>
      <c r="AI21" s="57" t="s">
        <v>607</v>
      </c>
      <c r="AJ21" s="2" t="str">
        <f t="shared" si="2"/>
        <v>0.5-40Orange</v>
      </c>
      <c r="AK21" s="55">
        <v>60</v>
      </c>
    </row>
    <row r="22" spans="1:37" ht="21" x14ac:dyDescent="0.25">
      <c r="A22" s="74" t="s">
        <v>749</v>
      </c>
      <c r="B22" s="74" t="str">
        <f>IF(AND(B21&gt;=80, B21&lt;=100), "GOOD", IF(AND(B21&gt;40, B21&lt;80), "FAIR", "POOR"))</f>
        <v>FAIR</v>
      </c>
      <c r="AG22" s="55">
        <v>0.5</v>
      </c>
      <c r="AH22" s="55">
        <v>-40</v>
      </c>
      <c r="AI22" s="57" t="s">
        <v>608</v>
      </c>
      <c r="AJ22" s="2" t="str">
        <f t="shared" si="2"/>
        <v>0.5-40Green</v>
      </c>
      <c r="AK22" s="55">
        <v>21</v>
      </c>
    </row>
    <row r="23" spans="1:37" ht="21" x14ac:dyDescent="0.25">
      <c r="AG23" s="55">
        <v>0.5</v>
      </c>
      <c r="AH23" s="55">
        <v>-40</v>
      </c>
      <c r="AI23" s="57" t="s">
        <v>609</v>
      </c>
      <c r="AJ23" s="2" t="str">
        <f t="shared" si="2"/>
        <v>0.5-40Red</v>
      </c>
      <c r="AK23" s="55">
        <v>27</v>
      </c>
    </row>
    <row r="24" spans="1:37" ht="21" x14ac:dyDescent="0.25">
      <c r="AG24" s="55">
        <v>0.5</v>
      </c>
      <c r="AH24" s="55">
        <v>-40</v>
      </c>
      <c r="AI24" s="57" t="s">
        <v>610</v>
      </c>
      <c r="AJ24" s="2" t="str">
        <f t="shared" si="2"/>
        <v>0.5-40Blue</v>
      </c>
      <c r="AK24" s="55">
        <v>13</v>
      </c>
    </row>
    <row r="25" spans="1:37" ht="21" x14ac:dyDescent="0.25">
      <c r="A25" s="73" t="s">
        <v>632</v>
      </c>
      <c r="B25" s="73">
        <f>ROUND(0.9*B12+0.1*B21, 0)</f>
        <v>77</v>
      </c>
      <c r="AG25" s="55">
        <v>0.5</v>
      </c>
      <c r="AH25" s="55">
        <v>-40</v>
      </c>
      <c r="AI25" s="57" t="s">
        <v>611</v>
      </c>
      <c r="AJ25" s="2" t="str">
        <f t="shared" si="2"/>
        <v>0.5-40Brown</v>
      </c>
      <c r="AK25" s="55">
        <v>7.5</v>
      </c>
    </row>
    <row r="26" spans="1:37" ht="21" x14ac:dyDescent="0.25">
      <c r="A26" s="73" t="s">
        <v>633</v>
      </c>
      <c r="B26" s="73" t="str">
        <f>IF(AND(B25&gt;=80, B25&lt;=100), "GOOD", IF(AND(B25&gt;40, B25&lt;80), "FAIR", "POOR"))</f>
        <v>FAIR</v>
      </c>
      <c r="AG26" s="55">
        <v>0.5</v>
      </c>
      <c r="AH26" s="55">
        <v>300</v>
      </c>
      <c r="AI26" s="57" t="s">
        <v>535</v>
      </c>
      <c r="AJ26" s="2" t="str">
        <f t="shared" si="2"/>
        <v>0.5300White</v>
      </c>
      <c r="AK26" s="55">
        <v>72</v>
      </c>
    </row>
    <row r="27" spans="1:37" ht="21" x14ac:dyDescent="0.25">
      <c r="AG27" s="55">
        <v>0.5</v>
      </c>
      <c r="AH27" s="55">
        <v>300</v>
      </c>
      <c r="AI27" s="57" t="s">
        <v>536</v>
      </c>
      <c r="AJ27" s="2" t="str">
        <f t="shared" si="2"/>
        <v>0.5300Yellow</v>
      </c>
      <c r="AK27" s="55">
        <v>54</v>
      </c>
    </row>
    <row r="28" spans="1:37" ht="21" x14ac:dyDescent="0.25">
      <c r="AG28" s="55">
        <v>0.5</v>
      </c>
      <c r="AH28" s="55">
        <v>300</v>
      </c>
      <c r="AI28" s="57" t="s">
        <v>607</v>
      </c>
      <c r="AJ28" s="2" t="str">
        <f t="shared" si="2"/>
        <v>0.5300Orange</v>
      </c>
      <c r="AK28" s="55">
        <v>28</v>
      </c>
    </row>
    <row r="29" spans="1:37" ht="21" x14ac:dyDescent="0.25">
      <c r="AG29" s="55">
        <v>0.5</v>
      </c>
      <c r="AH29" s="55">
        <v>300</v>
      </c>
      <c r="AI29" s="57" t="s">
        <v>608</v>
      </c>
      <c r="AJ29" s="2" t="str">
        <f t="shared" si="2"/>
        <v>0.5300Green</v>
      </c>
      <c r="AK29" s="55">
        <v>10</v>
      </c>
    </row>
    <row r="30" spans="1:37" ht="21" x14ac:dyDescent="0.25">
      <c r="AG30" s="55">
        <v>0.5</v>
      </c>
      <c r="AH30" s="55">
        <v>300</v>
      </c>
      <c r="AI30" s="57" t="s">
        <v>609</v>
      </c>
      <c r="AJ30" s="2" t="str">
        <f t="shared" si="2"/>
        <v>0.5300Red</v>
      </c>
      <c r="AK30" s="55">
        <v>13</v>
      </c>
    </row>
    <row r="31" spans="1:37" ht="21" x14ac:dyDescent="0.25">
      <c r="AG31" s="55">
        <v>0.5</v>
      </c>
      <c r="AH31" s="55">
        <v>300</v>
      </c>
      <c r="AI31" s="57" t="s">
        <v>610</v>
      </c>
      <c r="AJ31" s="2" t="str">
        <f t="shared" si="2"/>
        <v>0.5300Blue</v>
      </c>
      <c r="AK31" s="55">
        <v>6</v>
      </c>
    </row>
    <row r="32" spans="1:37" ht="21" x14ac:dyDescent="0.25">
      <c r="AG32" s="55">
        <v>0.5</v>
      </c>
      <c r="AH32" s="55">
        <v>300</v>
      </c>
      <c r="AI32" s="57" t="s">
        <v>611</v>
      </c>
      <c r="AJ32" s="2" t="str">
        <f t="shared" si="2"/>
        <v>0.5300Brown</v>
      </c>
      <c r="AK32" s="55">
        <v>3.5</v>
      </c>
    </row>
  </sheetData>
  <autoFilter ref="Z4:AE15" xr:uid="{6F4A442E-6263-4352-918D-CC4266497B94}"/>
  <mergeCells count="5">
    <mergeCell ref="A16:E16"/>
    <mergeCell ref="A3:E3"/>
    <mergeCell ref="A1:D1"/>
    <mergeCell ref="A4:D4"/>
    <mergeCell ref="A8:D8"/>
  </mergeCells>
  <dataValidations disablePrompts="1" count="11">
    <dataValidation type="list" allowBlank="1" showInputMessage="1" showErrorMessage="1" sqref="T23" xr:uid="{F4C7952C-9E0B-42A6-A659-0FEBB6E044C3}">
      <formula1>$S$6:$S$16</formula1>
    </dataValidation>
    <dataValidation type="list" allowBlank="1" showInputMessage="1" showErrorMessage="1" sqref="C20" xr:uid="{05ADC38B-716A-4B8F-8BC9-0DF94C41AB9A}">
      <formula1>$M$3:$M$14</formula1>
    </dataValidation>
    <dataValidation type="list" allowBlank="1" showInputMessage="1" showErrorMessage="1" sqref="B19" xr:uid="{B4C457B6-FD49-4D16-89F1-ECB94105FB6A}">
      <formula1>$AA$5:$AA$15</formula1>
    </dataValidation>
    <dataValidation type="list" allowBlank="1" showInputMessage="1" showErrorMessage="1" sqref="A19" xr:uid="{3E6185B2-CE5A-41B8-84DE-FA4B14173750}">
      <formula1>$Z$5:$Z$15</formula1>
    </dataValidation>
    <dataValidation type="list" allowBlank="1" showInputMessage="1" showErrorMessage="1" sqref="E10 D20" xr:uid="{CDF5392E-3707-4214-AD6C-DA7B0E4315BC}">
      <formula1>$N$3:$N$14</formula1>
    </dataValidation>
    <dataValidation type="list" allowBlank="1" showInputMessage="1" showErrorMessage="1" sqref="C10" xr:uid="{0A14D1DF-2110-4767-BC1F-EACF8B77873F}">
      <formula1>$Y$2:$Y$29</formula1>
    </dataValidation>
    <dataValidation type="list" allowBlank="1" showInputMessage="1" showErrorMessage="1" sqref="A10" xr:uid="{A18A5738-2EF8-4B5B-9E2F-5556F87D2267}">
      <formula1>$S$5:$S$15</formula1>
    </dataValidation>
    <dataValidation type="list" allowBlank="1" showInputMessage="1" showErrorMessage="1" sqref="B10 E6" xr:uid="{7F15C9F5-F230-4BF5-99F7-B20FA246E35A}">
      <formula1>$T$5:$T$15</formula1>
    </dataValidation>
    <dataValidation type="list" allowBlank="1" showInputMessage="1" showErrorMessage="1" sqref="A6" xr:uid="{B3D35028-DC43-4786-91EC-81773804A5D5}">
      <formula1>$AG$5:$AG$32</formula1>
    </dataValidation>
    <dataValidation type="list" allowBlank="1" showInputMessage="1" showErrorMessage="1" sqref="B6" xr:uid="{13B207FF-325D-4A27-A9FC-08F5A7B19146}">
      <formula1>$AH$5:$AH$32</formula1>
    </dataValidation>
    <dataValidation type="list" allowBlank="1" showInputMessage="1" showErrorMessage="1" sqref="C6" xr:uid="{A71CBB6B-44F3-4EC3-B68A-74CF490BCBEA}">
      <formula1>$AI$5:$AI$32</formula1>
    </dataValidation>
  </dataValidation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B55025-7DA1-489A-861D-94C7396BBCD2}">
  <sheetPr>
    <tabColor rgb="FF92D050"/>
  </sheetPr>
  <dimension ref="A1:M12"/>
  <sheetViews>
    <sheetView workbookViewId="0">
      <selection activeCell="E19" sqref="E19"/>
    </sheetView>
  </sheetViews>
  <sheetFormatPr defaultRowHeight="15" x14ac:dyDescent="0.25"/>
  <cols>
    <col min="1" max="1" width="55" customWidth="1"/>
    <col min="2" max="2" width="26.42578125" customWidth="1"/>
    <col min="8" max="8" width="141.5703125" bestFit="1" customWidth="1"/>
    <col min="9" max="9" width="22" bestFit="1" customWidth="1"/>
    <col min="10" max="10" width="19.28515625" bestFit="1" customWidth="1"/>
    <col min="11" max="11" width="21" bestFit="1" customWidth="1"/>
    <col min="12" max="12" width="10.140625" bestFit="1" customWidth="1"/>
    <col min="13" max="13" width="10.28515625" bestFit="1" customWidth="1"/>
  </cols>
  <sheetData>
    <row r="1" spans="1:13" ht="24" x14ac:dyDescent="0.4">
      <c r="A1" s="78" t="s">
        <v>768</v>
      </c>
      <c r="B1" s="78"/>
      <c r="H1" s="16" t="s">
        <v>757</v>
      </c>
      <c r="I1" s="16" t="s">
        <v>8</v>
      </c>
      <c r="J1" s="16" t="s">
        <v>217</v>
      </c>
      <c r="K1" s="16" t="s">
        <v>6</v>
      </c>
      <c r="L1" s="16" t="s">
        <v>218</v>
      </c>
      <c r="M1" s="16" t="s">
        <v>4</v>
      </c>
    </row>
    <row r="2" spans="1:13" x14ac:dyDescent="0.25">
      <c r="H2" s="10" t="s">
        <v>0</v>
      </c>
      <c r="I2" s="10" t="s">
        <v>0</v>
      </c>
      <c r="J2" s="8">
        <v>60</v>
      </c>
      <c r="K2" s="8">
        <v>40</v>
      </c>
      <c r="L2" s="8">
        <f t="shared" ref="L2:L12" si="0">J2+K2</f>
        <v>100</v>
      </c>
      <c r="M2" s="8" t="s">
        <v>1</v>
      </c>
    </row>
    <row r="3" spans="1:13" ht="30" x14ac:dyDescent="0.25">
      <c r="A3" s="16" t="s">
        <v>769</v>
      </c>
      <c r="B3" s="32" t="s">
        <v>437</v>
      </c>
      <c r="D3" s="39" t="s">
        <v>630</v>
      </c>
      <c r="E3" s="39" t="s">
        <v>429</v>
      </c>
      <c r="H3" s="10" t="s">
        <v>758</v>
      </c>
      <c r="I3" s="10" t="s">
        <v>353</v>
      </c>
      <c r="J3" s="8">
        <v>54</v>
      </c>
      <c r="K3" s="8">
        <v>36</v>
      </c>
      <c r="L3" s="8">
        <f t="shared" si="0"/>
        <v>90</v>
      </c>
      <c r="M3" s="8" t="s">
        <v>1</v>
      </c>
    </row>
    <row r="4" spans="1:13" x14ac:dyDescent="0.25">
      <c r="A4" s="58" t="s">
        <v>0</v>
      </c>
      <c r="B4" s="58" t="s">
        <v>0</v>
      </c>
      <c r="D4" s="7">
        <f>VLOOKUP(A4, H2:J12, 3,FALSE)</f>
        <v>60</v>
      </c>
      <c r="E4" s="7">
        <f>VLOOKUP(B4, I2:K12, 3, FALSE)</f>
        <v>40</v>
      </c>
      <c r="H4" s="10" t="s">
        <v>759</v>
      </c>
      <c r="I4" s="10" t="s">
        <v>354</v>
      </c>
      <c r="J4" s="8">
        <v>48</v>
      </c>
      <c r="K4" s="8">
        <v>32</v>
      </c>
      <c r="L4" s="8">
        <f t="shared" si="0"/>
        <v>80</v>
      </c>
      <c r="M4" s="8" t="s">
        <v>1</v>
      </c>
    </row>
    <row r="5" spans="1:13" x14ac:dyDescent="0.25">
      <c r="H5" s="10" t="s">
        <v>760</v>
      </c>
      <c r="I5" s="10" t="s">
        <v>355</v>
      </c>
      <c r="J5" s="8">
        <v>42</v>
      </c>
      <c r="K5" s="8">
        <v>28</v>
      </c>
      <c r="L5" s="8">
        <f t="shared" si="0"/>
        <v>70</v>
      </c>
      <c r="M5" s="8" t="s">
        <v>2</v>
      </c>
    </row>
    <row r="6" spans="1:13" x14ac:dyDescent="0.25">
      <c r="H6" s="10" t="s">
        <v>761</v>
      </c>
      <c r="I6" s="10" t="s">
        <v>356</v>
      </c>
      <c r="J6" s="8">
        <v>36</v>
      </c>
      <c r="K6" s="8">
        <v>24</v>
      </c>
      <c r="L6" s="8">
        <f t="shared" si="0"/>
        <v>60</v>
      </c>
      <c r="M6" s="8" t="s">
        <v>2</v>
      </c>
    </row>
    <row r="7" spans="1:13" ht="24.95" customHeight="1" x14ac:dyDescent="0.25">
      <c r="A7" s="65" t="s">
        <v>770</v>
      </c>
      <c r="B7" s="65">
        <f>IF(D4=0, 0, D4+E4)</f>
        <v>100</v>
      </c>
      <c r="H7" s="10" t="s">
        <v>762</v>
      </c>
      <c r="I7" s="10" t="s">
        <v>357</v>
      </c>
      <c r="J7" s="8">
        <v>30</v>
      </c>
      <c r="K7" s="8">
        <v>20</v>
      </c>
      <c r="L7" s="8">
        <f t="shared" si="0"/>
        <v>50</v>
      </c>
      <c r="M7" s="8" t="s">
        <v>2</v>
      </c>
    </row>
    <row r="8" spans="1:13" ht="24.95" customHeight="1" x14ac:dyDescent="0.25">
      <c r="A8" s="65" t="s">
        <v>771</v>
      </c>
      <c r="B8" s="65" t="str">
        <f>IF(AND(B7&gt;=80, B7&lt;=100), "GOOD", IF(AND(B7&gt;40, B7&lt;80), "FAIR", "POOR"))</f>
        <v>GOOD</v>
      </c>
      <c r="H8" s="10" t="s">
        <v>763</v>
      </c>
      <c r="I8" s="10" t="s">
        <v>358</v>
      </c>
      <c r="J8" s="8">
        <v>24</v>
      </c>
      <c r="K8" s="8">
        <v>16</v>
      </c>
      <c r="L8" s="8">
        <f t="shared" si="0"/>
        <v>40</v>
      </c>
      <c r="M8" s="8" t="s">
        <v>3</v>
      </c>
    </row>
    <row r="9" spans="1:13" x14ac:dyDescent="0.25">
      <c r="H9" s="10" t="s">
        <v>764</v>
      </c>
      <c r="I9" s="10" t="s">
        <v>359</v>
      </c>
      <c r="J9" s="8">
        <v>18</v>
      </c>
      <c r="K9" s="8">
        <v>12</v>
      </c>
      <c r="L9" s="8">
        <f t="shared" si="0"/>
        <v>30</v>
      </c>
      <c r="M9" s="8" t="s">
        <v>3</v>
      </c>
    </row>
    <row r="10" spans="1:13" x14ac:dyDescent="0.25">
      <c r="H10" s="10" t="s">
        <v>765</v>
      </c>
      <c r="I10" s="10" t="s">
        <v>360</v>
      </c>
      <c r="J10" s="8">
        <v>12</v>
      </c>
      <c r="K10" s="8">
        <v>8</v>
      </c>
      <c r="L10" s="8">
        <f t="shared" si="0"/>
        <v>20</v>
      </c>
      <c r="M10" s="8" t="s">
        <v>3</v>
      </c>
    </row>
    <row r="11" spans="1:13" x14ac:dyDescent="0.25">
      <c r="H11" s="10" t="s">
        <v>766</v>
      </c>
      <c r="I11" s="10" t="s">
        <v>361</v>
      </c>
      <c r="J11" s="8">
        <v>6</v>
      </c>
      <c r="K11" s="8">
        <v>4</v>
      </c>
      <c r="L11" s="8">
        <f t="shared" si="0"/>
        <v>10</v>
      </c>
      <c r="M11" s="8" t="s">
        <v>3</v>
      </c>
    </row>
    <row r="12" spans="1:13" x14ac:dyDescent="0.25">
      <c r="H12" s="10" t="s">
        <v>767</v>
      </c>
      <c r="I12" s="10" t="s">
        <v>362</v>
      </c>
      <c r="J12" s="8">
        <v>0</v>
      </c>
      <c r="K12" s="8">
        <v>0</v>
      </c>
      <c r="L12" s="8">
        <f t="shared" si="0"/>
        <v>0</v>
      </c>
      <c r="M12" s="8" t="s">
        <v>3</v>
      </c>
    </row>
  </sheetData>
  <mergeCells count="1">
    <mergeCell ref="A1:B1"/>
  </mergeCells>
  <dataValidations count="3">
    <dataValidation type="list" allowBlank="1" showInputMessage="1" showErrorMessage="1" sqref="B4" xr:uid="{BC90F3B8-9DFD-43D1-B5E1-67A39D7CDCEA}">
      <formula1>$I$2:$I$12</formula1>
    </dataValidation>
    <dataValidation type="list" allowBlank="1" showInputMessage="1" showErrorMessage="1" sqref="A4" xr:uid="{7B354337-5A6F-46EF-B355-7AE63840B216}">
      <formula1>$H$2:$H$12</formula1>
    </dataValidation>
    <dataValidation type="list" allowBlank="1" showInputMessage="1" showErrorMessage="1" sqref="A5" xr:uid="{0EF81E0E-37C9-43B3-BC11-5C9D1CE90C32}">
      <formula1>$J$5:$J$13</formula1>
    </dataValidation>
  </dataValidation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67CD97-BF6F-432F-93B3-71AB64B8DD47}">
  <sheetPr>
    <tabColor rgb="FF92D050"/>
  </sheetPr>
  <dimension ref="A1:M27"/>
  <sheetViews>
    <sheetView workbookViewId="0">
      <selection activeCell="F21" sqref="F21"/>
    </sheetView>
  </sheetViews>
  <sheetFormatPr defaultRowHeight="15" x14ac:dyDescent="0.25"/>
  <cols>
    <col min="1" max="1" width="55" customWidth="1"/>
    <col min="2" max="2" width="26.42578125" customWidth="1"/>
    <col min="8" max="8" width="87" bestFit="1" customWidth="1"/>
    <col min="9" max="9" width="22" bestFit="1" customWidth="1"/>
    <col min="10" max="10" width="19.28515625" bestFit="1" customWidth="1"/>
    <col min="11" max="11" width="21" bestFit="1" customWidth="1"/>
    <col min="12" max="12" width="10.140625" bestFit="1" customWidth="1"/>
    <col min="13" max="13" width="10.28515625" bestFit="1" customWidth="1"/>
  </cols>
  <sheetData>
    <row r="1" spans="1:13" ht="24" x14ac:dyDescent="0.4">
      <c r="A1" s="78" t="s">
        <v>772</v>
      </c>
      <c r="B1" s="78"/>
      <c r="H1" s="16" t="s">
        <v>757</v>
      </c>
      <c r="I1" s="16" t="s">
        <v>8</v>
      </c>
      <c r="J1" s="16" t="s">
        <v>217</v>
      </c>
      <c r="K1" s="16" t="s">
        <v>6</v>
      </c>
      <c r="L1" s="16" t="s">
        <v>218</v>
      </c>
      <c r="M1" s="16" t="s">
        <v>4</v>
      </c>
    </row>
    <row r="2" spans="1:13" x14ac:dyDescent="0.25">
      <c r="H2" s="10" t="s">
        <v>0</v>
      </c>
      <c r="I2" s="10" t="s">
        <v>0</v>
      </c>
      <c r="J2" s="8">
        <v>60</v>
      </c>
      <c r="K2" s="8">
        <v>40</v>
      </c>
      <c r="L2" s="8">
        <f t="shared" ref="L2:L12" si="0">J2+K2</f>
        <v>100</v>
      </c>
      <c r="M2" s="8" t="s">
        <v>1</v>
      </c>
    </row>
    <row r="3" spans="1:13" ht="30" x14ac:dyDescent="0.25">
      <c r="A3" s="16" t="s">
        <v>769</v>
      </c>
      <c r="B3" s="32" t="s">
        <v>437</v>
      </c>
      <c r="D3" s="39" t="s">
        <v>630</v>
      </c>
      <c r="E3" s="39" t="s">
        <v>429</v>
      </c>
      <c r="H3" s="10" t="s">
        <v>775</v>
      </c>
      <c r="I3" s="10" t="s">
        <v>353</v>
      </c>
      <c r="J3" s="8">
        <v>54</v>
      </c>
      <c r="K3" s="8">
        <v>36</v>
      </c>
      <c r="L3" s="8">
        <f t="shared" si="0"/>
        <v>90</v>
      </c>
      <c r="M3" s="8" t="s">
        <v>1</v>
      </c>
    </row>
    <row r="4" spans="1:13" x14ac:dyDescent="0.25">
      <c r="A4" s="58" t="s">
        <v>0</v>
      </c>
      <c r="B4" s="58" t="s">
        <v>0</v>
      </c>
      <c r="D4" s="7">
        <f>VLOOKUP(A4, H2:J12, 3,FALSE)</f>
        <v>60</v>
      </c>
      <c r="E4" s="7">
        <f>VLOOKUP(B4, I2:K12, 3, FALSE)</f>
        <v>40</v>
      </c>
      <c r="H4" s="10" t="s">
        <v>776</v>
      </c>
      <c r="I4" s="10" t="s">
        <v>354</v>
      </c>
      <c r="J4" s="8">
        <v>48</v>
      </c>
      <c r="K4" s="8">
        <v>32</v>
      </c>
      <c r="L4" s="8">
        <f t="shared" si="0"/>
        <v>80</v>
      </c>
      <c r="M4" s="8" t="s">
        <v>1</v>
      </c>
    </row>
    <row r="5" spans="1:13" x14ac:dyDescent="0.25">
      <c r="H5" s="10" t="s">
        <v>777</v>
      </c>
      <c r="I5" s="10" t="s">
        <v>355</v>
      </c>
      <c r="J5" s="8">
        <v>42</v>
      </c>
      <c r="K5" s="8">
        <v>28</v>
      </c>
      <c r="L5" s="8">
        <f t="shared" si="0"/>
        <v>70</v>
      </c>
      <c r="M5" s="8" t="s">
        <v>2</v>
      </c>
    </row>
    <row r="6" spans="1:13" x14ac:dyDescent="0.25">
      <c r="H6" s="10" t="s">
        <v>778</v>
      </c>
      <c r="I6" s="10" t="s">
        <v>356</v>
      </c>
      <c r="J6" s="8">
        <v>36</v>
      </c>
      <c r="K6" s="8">
        <v>24</v>
      </c>
      <c r="L6" s="8">
        <f t="shared" si="0"/>
        <v>60</v>
      </c>
      <c r="M6" s="8" t="s">
        <v>2</v>
      </c>
    </row>
    <row r="7" spans="1:13" ht="24.95" customHeight="1" x14ac:dyDescent="0.25">
      <c r="A7" s="65" t="s">
        <v>773</v>
      </c>
      <c r="B7" s="65">
        <f>IF(D4=0, 0, D4+E4)</f>
        <v>100</v>
      </c>
      <c r="H7" s="10" t="s">
        <v>779</v>
      </c>
      <c r="I7" s="10" t="s">
        <v>357</v>
      </c>
      <c r="J7" s="8">
        <v>30</v>
      </c>
      <c r="K7" s="8">
        <v>20</v>
      </c>
      <c r="L7" s="8">
        <f t="shared" si="0"/>
        <v>50</v>
      </c>
      <c r="M7" s="8" t="s">
        <v>2</v>
      </c>
    </row>
    <row r="8" spans="1:13" ht="24.95" customHeight="1" x14ac:dyDescent="0.25">
      <c r="A8" s="65" t="s">
        <v>774</v>
      </c>
      <c r="B8" s="65" t="str">
        <f>IF(AND(B7&gt;=80, B7&lt;=100), "GOOD", IF(AND(B7&gt;40, B7&lt;80), "FAIR", "POOR"))</f>
        <v>GOOD</v>
      </c>
      <c r="H8" s="10" t="s">
        <v>780</v>
      </c>
      <c r="I8" s="10" t="s">
        <v>358</v>
      </c>
      <c r="J8" s="8">
        <v>24</v>
      </c>
      <c r="K8" s="8">
        <v>16</v>
      </c>
      <c r="L8" s="8">
        <f t="shared" si="0"/>
        <v>40</v>
      </c>
      <c r="M8" s="8" t="s">
        <v>3</v>
      </c>
    </row>
    <row r="9" spans="1:13" x14ac:dyDescent="0.25">
      <c r="H9" s="10" t="s">
        <v>781</v>
      </c>
      <c r="I9" s="10" t="s">
        <v>359</v>
      </c>
      <c r="J9" s="8">
        <v>18</v>
      </c>
      <c r="K9" s="8">
        <v>12</v>
      </c>
      <c r="L9" s="8">
        <f t="shared" si="0"/>
        <v>30</v>
      </c>
      <c r="M9" s="8" t="s">
        <v>3</v>
      </c>
    </row>
    <row r="10" spans="1:13" x14ac:dyDescent="0.25">
      <c r="H10" s="10" t="s">
        <v>782</v>
      </c>
      <c r="I10" s="10" t="s">
        <v>360</v>
      </c>
      <c r="J10" s="8">
        <v>12</v>
      </c>
      <c r="K10" s="8">
        <v>8</v>
      </c>
      <c r="L10" s="8">
        <f t="shared" si="0"/>
        <v>20</v>
      </c>
      <c r="M10" s="8" t="s">
        <v>3</v>
      </c>
    </row>
    <row r="11" spans="1:13" x14ac:dyDescent="0.25">
      <c r="H11" s="10" t="s">
        <v>783</v>
      </c>
      <c r="I11" s="10" t="s">
        <v>361</v>
      </c>
      <c r="J11" s="8">
        <v>6</v>
      </c>
      <c r="K11" s="8">
        <v>4</v>
      </c>
      <c r="L11" s="8">
        <f t="shared" si="0"/>
        <v>10</v>
      </c>
      <c r="M11" s="8" t="s">
        <v>3</v>
      </c>
    </row>
    <row r="12" spans="1:13" x14ac:dyDescent="0.25">
      <c r="H12" s="10" t="s">
        <v>784</v>
      </c>
      <c r="I12" s="10" t="s">
        <v>362</v>
      </c>
      <c r="J12" s="8">
        <v>0</v>
      </c>
      <c r="K12" s="8">
        <v>0</v>
      </c>
      <c r="L12" s="8">
        <f t="shared" si="0"/>
        <v>0</v>
      </c>
      <c r="M12" s="8" t="s">
        <v>3</v>
      </c>
    </row>
    <row r="13" spans="1:13" x14ac:dyDescent="0.25">
      <c r="H13" s="12"/>
    </row>
    <row r="15" spans="1:13" x14ac:dyDescent="0.25">
      <c r="H15" s="12"/>
    </row>
    <row r="16" spans="1:13" x14ac:dyDescent="0.25">
      <c r="H16" s="12"/>
    </row>
    <row r="17" spans="8:8" x14ac:dyDescent="0.25">
      <c r="H17" s="12"/>
    </row>
    <row r="18" spans="8:8" x14ac:dyDescent="0.25">
      <c r="H18" s="12"/>
    </row>
    <row r="19" spans="8:8" x14ac:dyDescent="0.25">
      <c r="H19" s="12"/>
    </row>
    <row r="20" spans="8:8" x14ac:dyDescent="0.25">
      <c r="H20" s="12"/>
    </row>
    <row r="21" spans="8:8" x14ac:dyDescent="0.25">
      <c r="H21" s="12"/>
    </row>
    <row r="22" spans="8:8" x14ac:dyDescent="0.25">
      <c r="H22" s="12"/>
    </row>
    <row r="23" spans="8:8" x14ac:dyDescent="0.25">
      <c r="H23" s="12"/>
    </row>
    <row r="24" spans="8:8" x14ac:dyDescent="0.25">
      <c r="H24" s="12"/>
    </row>
    <row r="25" spans="8:8" x14ac:dyDescent="0.25">
      <c r="H25" s="12"/>
    </row>
    <row r="27" spans="8:8" x14ac:dyDescent="0.25">
      <c r="H27" s="12"/>
    </row>
  </sheetData>
  <mergeCells count="1">
    <mergeCell ref="A1:B1"/>
  </mergeCells>
  <dataValidations count="3">
    <dataValidation type="list" allowBlank="1" showInputMessage="1" showErrorMessage="1" sqref="A5" xr:uid="{39C34F5C-B045-46C5-A68A-608E6C4C0481}">
      <formula1>$J$5:$J$13</formula1>
    </dataValidation>
    <dataValidation type="list" allowBlank="1" showInputMessage="1" showErrorMessage="1" sqref="A4" xr:uid="{8EA6E6ED-8AB7-432B-A05D-A13E1AC9D2FA}">
      <formula1>$H$2:$H$12</formula1>
    </dataValidation>
    <dataValidation type="list" allowBlank="1" showInputMessage="1" showErrorMessage="1" sqref="B4" xr:uid="{513752FE-AFE3-43F5-B4D3-3565F2B07350}">
      <formula1>$I$2:$I$12</formula1>
    </dataValidation>
  </dataValidation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2A7B5F-574D-4F32-811B-C4565EF3D94B}">
  <sheetPr>
    <tabColor theme="1" tint="4.9989318521683403E-2"/>
  </sheetPr>
  <dimension ref="A1:F12"/>
  <sheetViews>
    <sheetView workbookViewId="0">
      <selection sqref="A1:F12"/>
    </sheetView>
  </sheetViews>
  <sheetFormatPr defaultRowHeight="15" x14ac:dyDescent="0.25"/>
  <cols>
    <col min="1" max="1" width="61.140625" customWidth="1"/>
    <col min="2" max="2" width="46.28515625" customWidth="1"/>
    <col min="3" max="3" width="19.7109375" bestFit="1" customWidth="1"/>
    <col min="4" max="4" width="21" bestFit="1" customWidth="1"/>
    <col min="5" max="5" width="10" bestFit="1" customWidth="1"/>
    <col min="6" max="6" width="10.28515625" bestFit="1" customWidth="1"/>
  </cols>
  <sheetData>
    <row r="1" spans="1:6" ht="18.75" customHeight="1" x14ac:dyDescent="0.25">
      <c r="A1" s="16" t="s">
        <v>9</v>
      </c>
      <c r="B1" s="16" t="s">
        <v>8</v>
      </c>
      <c r="C1" s="16" t="s">
        <v>7</v>
      </c>
      <c r="D1" s="16" t="s">
        <v>6</v>
      </c>
      <c r="E1" s="16" t="s">
        <v>5</v>
      </c>
      <c r="F1" s="16" t="s">
        <v>4</v>
      </c>
    </row>
    <row r="2" spans="1:6" x14ac:dyDescent="0.25">
      <c r="A2" s="2" t="s">
        <v>91</v>
      </c>
      <c r="B2" s="2" t="s">
        <v>90</v>
      </c>
      <c r="C2" s="8">
        <v>0</v>
      </c>
      <c r="D2" s="8">
        <v>0</v>
      </c>
      <c r="E2" s="8">
        <f t="shared" ref="E2:E12" si="0">C2+D2</f>
        <v>0</v>
      </c>
      <c r="F2" s="10" t="s">
        <v>3</v>
      </c>
    </row>
    <row r="3" spans="1:6" x14ac:dyDescent="0.25">
      <c r="A3" s="2" t="s">
        <v>93</v>
      </c>
      <c r="B3" s="2" t="s">
        <v>89</v>
      </c>
      <c r="C3" s="8">
        <v>8</v>
      </c>
      <c r="D3" s="8">
        <v>2</v>
      </c>
      <c r="E3" s="8">
        <f t="shared" si="0"/>
        <v>10</v>
      </c>
      <c r="F3" s="10" t="s">
        <v>3</v>
      </c>
    </row>
    <row r="4" spans="1:6" x14ac:dyDescent="0.25">
      <c r="A4" s="2" t="s">
        <v>94</v>
      </c>
      <c r="B4" s="2" t="s">
        <v>88</v>
      </c>
      <c r="C4" s="8">
        <v>16</v>
      </c>
      <c r="D4" s="8">
        <v>4</v>
      </c>
      <c r="E4" s="8">
        <f t="shared" si="0"/>
        <v>20</v>
      </c>
      <c r="F4" s="10" t="s">
        <v>3</v>
      </c>
    </row>
    <row r="5" spans="1:6" x14ac:dyDescent="0.25">
      <c r="A5" s="2" t="s">
        <v>95</v>
      </c>
      <c r="B5" s="2" t="s">
        <v>87</v>
      </c>
      <c r="C5" s="8">
        <v>24</v>
      </c>
      <c r="D5" s="8">
        <v>6</v>
      </c>
      <c r="E5" s="8">
        <f t="shared" si="0"/>
        <v>30</v>
      </c>
      <c r="F5" s="10" t="s">
        <v>3</v>
      </c>
    </row>
    <row r="6" spans="1:6" x14ac:dyDescent="0.25">
      <c r="A6" s="2" t="s">
        <v>96</v>
      </c>
      <c r="B6" s="2" t="s">
        <v>86</v>
      </c>
      <c r="C6" s="8">
        <v>32</v>
      </c>
      <c r="D6" s="8">
        <v>8</v>
      </c>
      <c r="E6" s="8">
        <f t="shared" si="0"/>
        <v>40</v>
      </c>
      <c r="F6" s="10" t="s">
        <v>3</v>
      </c>
    </row>
    <row r="7" spans="1:6" x14ac:dyDescent="0.25">
      <c r="A7" s="2" t="s">
        <v>97</v>
      </c>
      <c r="B7" s="2" t="s">
        <v>85</v>
      </c>
      <c r="C7" s="8">
        <v>40</v>
      </c>
      <c r="D7" s="8">
        <v>10</v>
      </c>
      <c r="E7" s="8">
        <f t="shared" si="0"/>
        <v>50</v>
      </c>
      <c r="F7" s="10" t="s">
        <v>2</v>
      </c>
    </row>
    <row r="8" spans="1:6" x14ac:dyDescent="0.25">
      <c r="A8" s="2" t="s">
        <v>98</v>
      </c>
      <c r="B8" s="2" t="s">
        <v>84</v>
      </c>
      <c r="C8" s="8">
        <v>48</v>
      </c>
      <c r="D8" s="8">
        <v>12</v>
      </c>
      <c r="E8" s="8">
        <f t="shared" si="0"/>
        <v>60</v>
      </c>
      <c r="F8" s="10" t="s">
        <v>2</v>
      </c>
    </row>
    <row r="9" spans="1:6" x14ac:dyDescent="0.25">
      <c r="A9" s="2" t="s">
        <v>99</v>
      </c>
      <c r="B9" s="2" t="s">
        <v>83</v>
      </c>
      <c r="C9" s="8">
        <v>56</v>
      </c>
      <c r="D9" s="8">
        <v>14</v>
      </c>
      <c r="E9" s="8">
        <f t="shared" si="0"/>
        <v>70</v>
      </c>
      <c r="F9" s="10" t="s">
        <v>2</v>
      </c>
    </row>
    <row r="10" spans="1:6" x14ac:dyDescent="0.25">
      <c r="A10" s="2" t="s">
        <v>100</v>
      </c>
      <c r="B10" s="2" t="s">
        <v>82</v>
      </c>
      <c r="C10" s="8">
        <v>64</v>
      </c>
      <c r="D10" s="8">
        <v>16</v>
      </c>
      <c r="E10" s="8">
        <f t="shared" si="0"/>
        <v>80</v>
      </c>
      <c r="F10" s="10" t="s">
        <v>1</v>
      </c>
    </row>
    <row r="11" spans="1:6" x14ac:dyDescent="0.25">
      <c r="A11" s="2" t="s">
        <v>101</v>
      </c>
      <c r="B11" s="2" t="s">
        <v>81</v>
      </c>
      <c r="C11" s="8">
        <v>72</v>
      </c>
      <c r="D11" s="8">
        <v>18</v>
      </c>
      <c r="E11" s="8">
        <f t="shared" si="0"/>
        <v>90</v>
      </c>
      <c r="F11" s="10" t="s">
        <v>1</v>
      </c>
    </row>
    <row r="12" spans="1:6" x14ac:dyDescent="0.25">
      <c r="A12" s="2" t="s">
        <v>0</v>
      </c>
      <c r="B12" s="2" t="s">
        <v>0</v>
      </c>
      <c r="C12" s="8">
        <v>80</v>
      </c>
      <c r="D12" s="8">
        <v>20</v>
      </c>
      <c r="E12" s="8">
        <f t="shared" si="0"/>
        <v>100</v>
      </c>
      <c r="F12" s="10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ACI_Calculation Sheet</vt:lpstr>
      <vt:lpstr>Summary</vt:lpstr>
      <vt:lpstr>MANHOLE</vt:lpstr>
      <vt:lpstr>GULLY</vt:lpstr>
      <vt:lpstr>BOLLARDS</vt:lpstr>
      <vt:lpstr>DRAINAGE POINT</vt:lpstr>
      <vt:lpstr>CRASH CUSHION &amp; END TERMINAL</vt:lpstr>
      <vt:lpstr>CURBSTONE</vt:lpstr>
      <vt:lpstr>ROAD MARKING</vt:lpstr>
      <vt:lpstr>GUARDRAIL</vt:lpstr>
      <vt:lpstr>FENCE</vt:lpstr>
      <vt:lpstr>GANTRY</vt:lpstr>
      <vt:lpstr>BARRIER</vt:lpstr>
      <vt:lpstr>ROAD STUD</vt:lpstr>
      <vt:lpstr>FOOTPATH</vt:lpstr>
      <vt:lpstr>HUMP</vt:lpstr>
      <vt:lpstr>Pedestrian Crossing</vt:lpstr>
      <vt:lpstr>CAMEL GRID</vt:lpstr>
      <vt:lpstr>PERGOLA</vt:lpstr>
      <vt:lpstr>ROAD MARKING SYMBOL</vt:lpstr>
      <vt:lpstr>TRAFIC SIGNAL</vt:lpstr>
      <vt:lpstr>CONTROL CABINET</vt:lpstr>
      <vt:lpstr>STREETLIGHT</vt:lpstr>
      <vt:lpstr>PUBLIC SHED</vt:lpstr>
      <vt:lpstr>PARKING TENTS</vt:lpstr>
      <vt:lpstr>ROADSIDE CAMERA</vt:lpstr>
      <vt:lpstr>DECORATIVE FURNITURE</vt:lpstr>
      <vt:lpstr>LANDSCAPE</vt:lpstr>
      <vt:lpstr>PARKING</vt:lpstr>
      <vt:lpstr>LABAY</vt:lpstr>
      <vt:lpstr>SHOULDER</vt:lpstr>
      <vt:lpstr>BENCH</vt:lpstr>
      <vt:lpstr>CYCLE RACK</vt:lpstr>
      <vt:lpstr>ISLAND</vt:lpstr>
      <vt:lpstr>ROAD_SIGN_FACE and POLE</vt:lpstr>
      <vt:lpstr>Wooden Deck</vt:lpstr>
      <vt:lpstr>Jogging Track</vt:lpstr>
      <vt:lpstr>ROAD_SIGN_POLE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g209</dc:creator>
  <cp:lastModifiedBy>g206</cp:lastModifiedBy>
  <dcterms:created xsi:type="dcterms:W3CDTF">2024-06-14T06:14:14Z</dcterms:created>
  <dcterms:modified xsi:type="dcterms:W3CDTF">2025-05-20T06:44:12Z</dcterms:modified>
</cp:coreProperties>
</file>