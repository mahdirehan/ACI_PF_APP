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Priority Factor Cal Sheet" sheetId="1" state="hidden" r:id="rId1"/>
    <sheet xmlns:r="http://schemas.openxmlformats.org/officeDocument/2006/relationships" name="Condition Factor" sheetId="2" state="visible" r:id="rId2"/>
    <sheet xmlns:r="http://schemas.openxmlformats.org/officeDocument/2006/relationships" name="Risk Factor" sheetId="3" state="visible" r:id="rId3"/>
    <sheet xmlns:r="http://schemas.openxmlformats.org/officeDocument/2006/relationships" name="Functional Life Factor " sheetId="4" state="visible" r:id="rId4"/>
    <sheet xmlns:r="http://schemas.openxmlformats.org/officeDocument/2006/relationships" name="Functional Life Factor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4" borderId="0"/>
    <xf numFmtId="0" fontId="5" fillId="5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1" fontId="2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4" borderId="5" pivotButton="0" quotePrefix="0" xfId="1"/>
    <xf numFmtId="0" fontId="4" fillId="4" borderId="5" applyAlignment="1" pivotButton="0" quotePrefix="0" xfId="1">
      <alignment horizontal="center"/>
    </xf>
    <xf numFmtId="0" fontId="8" fillId="0" borderId="5" pivotButton="0" quotePrefix="0" xfId="0"/>
    <xf numFmtId="0" fontId="5" fillId="5" borderId="5" pivotButton="0" quotePrefix="0" xfId="2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wrapText="1"/>
    </xf>
    <xf numFmtId="0" fontId="6" fillId="2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wrapText="1"/>
    </xf>
    <xf numFmtId="0" fontId="0" fillId="3" borderId="5" pivotButton="0" quotePrefix="0" xfId="0"/>
    <xf numFmtId="0" fontId="8" fillId="3" borderId="5" pivotButton="0" quotePrefix="0" xfId="0"/>
    <xf numFmtId="0" fontId="8" fillId="6" borderId="5" pivotButton="0" quotePrefix="0" xfId="0"/>
    <xf numFmtId="0" fontId="2" fillId="6" borderId="5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</cellXfs>
  <cellStyles count="3">
    <cellStyle name="Normal" xfId="0" builtinId="0"/>
    <cellStyle name="Good" xfId="1" builtinId="26"/>
    <cellStyle name="Bad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F25" sqref="F25"/>
    </sheetView>
  </sheetViews>
  <sheetFormatPr baseColWidth="8" defaultRowHeight="15"/>
  <cols>
    <col width="3.42578125" bestFit="1" customWidth="1" min="1" max="1"/>
    <col width="19.5703125" bestFit="1" customWidth="1" min="2" max="2"/>
  </cols>
  <sheetData>
    <row r="1">
      <c r="A1" s="3" t="inlineStr">
        <is>
          <t>SN</t>
        </is>
      </c>
      <c r="B1" s="3" t="inlineStr">
        <is>
          <t>Asset Name</t>
        </is>
      </c>
      <c r="C1" t="inlineStr">
        <is>
          <t>ACI</t>
        </is>
      </c>
    </row>
    <row r="2" ht="15.75" customHeight="1" thickBot="1">
      <c r="A2" s="5" t="n">
        <v>1</v>
      </c>
      <c r="B2" s="6" t="inlineStr">
        <is>
          <t>Traffic Signal</t>
        </is>
      </c>
    </row>
    <row r="3" ht="15.75" customHeight="1" thickBot="1">
      <c r="A3" s="5" t="n">
        <v>2</v>
      </c>
      <c r="B3" s="6" t="inlineStr">
        <is>
          <t>Road Sign</t>
        </is>
      </c>
    </row>
    <row r="4" ht="15.75" customHeight="1" thickBot="1">
      <c r="A4" s="5" t="n">
        <v>3</v>
      </c>
      <c r="B4" s="6" t="inlineStr">
        <is>
          <t>Streetlight</t>
        </is>
      </c>
    </row>
    <row r="5" ht="15.75" customHeight="1" thickBot="1">
      <c r="A5" s="5" t="n">
        <v>4</v>
      </c>
      <c r="B5" s="6" t="inlineStr">
        <is>
          <t>Crash Cushion</t>
        </is>
      </c>
    </row>
    <row r="6" ht="15.75" customHeight="1" thickBot="1">
      <c r="A6" s="5" t="n">
        <v>5</v>
      </c>
      <c r="B6" s="6" t="inlineStr">
        <is>
          <t>Road Marking</t>
        </is>
      </c>
    </row>
    <row r="7" ht="15.75" customHeight="1" thickBot="1">
      <c r="A7" s="5" t="n">
        <v>6</v>
      </c>
      <c r="B7" s="6" t="inlineStr">
        <is>
          <t>Road Hump</t>
        </is>
      </c>
    </row>
    <row r="8" ht="15.75" customHeight="1" thickBot="1">
      <c r="A8" s="5" t="n">
        <v>7</v>
      </c>
      <c r="B8" s="6" t="inlineStr">
        <is>
          <t>Road Studs</t>
        </is>
      </c>
    </row>
    <row r="9" ht="15.75" customHeight="1" thickBot="1">
      <c r="A9" s="5" t="n">
        <v>8</v>
      </c>
      <c r="B9" s="6" t="inlineStr">
        <is>
          <t>Barrier</t>
        </is>
      </c>
    </row>
    <row r="10" ht="15.75" customHeight="1" thickBot="1">
      <c r="A10" s="5" t="n">
        <v>9</v>
      </c>
      <c r="B10" s="6" t="inlineStr">
        <is>
          <t>Guardrail</t>
        </is>
      </c>
    </row>
    <row r="11" ht="15.75" customHeight="1" thickBot="1">
      <c r="A11" s="5" t="n">
        <v>10</v>
      </c>
      <c r="B11" s="6" t="inlineStr">
        <is>
          <t>Road Gantry</t>
        </is>
      </c>
    </row>
    <row r="12" ht="15.75" customHeight="1" thickBot="1">
      <c r="A12" s="5" t="n">
        <v>11</v>
      </c>
      <c r="B12" s="6" t="inlineStr">
        <is>
          <t>Pedestrian Crossing</t>
        </is>
      </c>
    </row>
    <row r="13" ht="15.75" customHeight="1" thickBot="1">
      <c r="A13" s="5" t="n">
        <v>12</v>
      </c>
      <c r="B13" s="6" t="inlineStr">
        <is>
          <t>Fence</t>
        </is>
      </c>
    </row>
    <row r="14" ht="15.75" customHeight="1" thickBot="1">
      <c r="A14" s="5" t="n">
        <v>13</v>
      </c>
      <c r="B14" s="6" t="inlineStr">
        <is>
          <t>Roadside Camera</t>
        </is>
      </c>
    </row>
    <row r="15" ht="15.75" customHeight="1" thickBot="1">
      <c r="A15" s="5" t="n">
        <v>14</v>
      </c>
      <c r="B15" s="6" t="inlineStr">
        <is>
          <t>Control Cabinet</t>
        </is>
      </c>
    </row>
    <row r="16" ht="15.75" customHeight="1" thickBot="1">
      <c r="A16" s="5" t="n">
        <v>15</v>
      </c>
      <c r="B16" s="6" t="inlineStr">
        <is>
          <t>Manhole</t>
        </is>
      </c>
    </row>
    <row r="17" ht="15.75" customHeight="1" thickBot="1">
      <c r="A17" s="5" t="n">
        <v>16</v>
      </c>
      <c r="B17" s="6" t="inlineStr">
        <is>
          <t>Drainage Point</t>
        </is>
      </c>
    </row>
    <row r="18" ht="15.75" customHeight="1" thickBot="1">
      <c r="A18" s="5" t="n">
        <v>17</v>
      </c>
      <c r="B18" s="6" t="inlineStr">
        <is>
          <t>Curb Stone</t>
        </is>
      </c>
    </row>
    <row r="19" ht="15.75" customHeight="1" thickBot="1">
      <c r="A19" s="5" t="n">
        <v>18</v>
      </c>
      <c r="B19" s="6" t="inlineStr">
        <is>
          <t>Footpath</t>
        </is>
      </c>
    </row>
    <row r="20" ht="15.75" customHeight="1" thickBot="1">
      <c r="A20" s="5" t="n">
        <v>19</v>
      </c>
      <c r="B20" s="6" t="inlineStr">
        <is>
          <t>Gully</t>
        </is>
      </c>
    </row>
    <row r="21" ht="15.75" customHeight="1" thickBot="1">
      <c r="A21" s="5" t="n">
        <v>20</v>
      </c>
      <c r="B21" s="6" t="inlineStr">
        <is>
          <t>Bollards</t>
        </is>
      </c>
    </row>
    <row r="22" ht="15.75" customHeight="1" thickBot="1">
      <c r="A22" s="5" t="n">
        <v>21</v>
      </c>
      <c r="B22" s="6" t="inlineStr">
        <is>
          <t>Island</t>
        </is>
      </c>
    </row>
    <row r="23" ht="15.75" customHeight="1" thickBot="1">
      <c r="A23" s="5" t="n">
        <v>22</v>
      </c>
      <c r="B23" s="6" t="inlineStr">
        <is>
          <t>Median</t>
        </is>
      </c>
    </row>
    <row r="24" ht="15.75" customHeight="1" thickBot="1">
      <c r="A24" s="5" t="n">
        <v>23</v>
      </c>
      <c r="B24" s="6" t="inlineStr">
        <is>
          <t>Parking</t>
        </is>
      </c>
    </row>
    <row r="25" ht="15.75" customHeight="1" thickBot="1">
      <c r="A25" s="5" t="n">
        <v>24</v>
      </c>
      <c r="B25" s="6" t="inlineStr">
        <is>
          <t>Layby</t>
        </is>
      </c>
    </row>
    <row r="26" ht="15.75" customHeight="1" thickBot="1">
      <c r="A26" s="5" t="n">
        <v>25</v>
      </c>
      <c r="B26" s="6" t="inlineStr">
        <is>
          <t>Decorative Furniture</t>
        </is>
      </c>
    </row>
    <row r="27" ht="15.75" customHeight="1" thickBot="1">
      <c r="A27" s="5" t="n">
        <v>26</v>
      </c>
      <c r="B27" s="6" t="inlineStr">
        <is>
          <t>Cycle Rack</t>
        </is>
      </c>
    </row>
    <row r="28" ht="15.75" customHeight="1" thickBot="1">
      <c r="A28" s="5" t="n">
        <v>27</v>
      </c>
      <c r="B28" s="6" t="inlineStr">
        <is>
          <t>Parking Tent</t>
        </is>
      </c>
    </row>
    <row r="29" ht="15.75" customHeight="1" thickBot="1">
      <c r="A29" s="5" t="n">
        <v>28</v>
      </c>
      <c r="B29" s="6" t="inlineStr">
        <is>
          <t>Pergolas</t>
        </is>
      </c>
    </row>
    <row r="30" ht="15.75" customHeight="1" thickBot="1">
      <c r="A30" s="5" t="n">
        <v>29</v>
      </c>
      <c r="B30" s="6" t="inlineStr">
        <is>
          <t>Landscape</t>
        </is>
      </c>
    </row>
    <row r="31" ht="15.75" customHeight="1" thickBot="1">
      <c r="A31" s="5" t="n">
        <v>30</v>
      </c>
      <c r="B31" s="6" t="inlineStr">
        <is>
          <t>Public Sheds</t>
        </is>
      </c>
    </row>
    <row r="32" ht="15.75" customHeight="1" thickBot="1">
      <c r="A32" s="5" t="n">
        <v>31</v>
      </c>
      <c r="B32" s="6" t="inlineStr">
        <is>
          <t>Camel Grid</t>
        </is>
      </c>
    </row>
    <row r="33" ht="15.75" customHeight="1" thickBot="1">
      <c r="A33" s="5" t="n">
        <v>32</v>
      </c>
      <c r="B33" s="6" t="inlineStr">
        <is>
          <t>Benches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zoomScale="115" zoomScaleNormal="115" workbookViewId="0">
      <selection activeCell="E16" sqref="E16"/>
    </sheetView>
  </sheetViews>
  <sheetFormatPr baseColWidth="8" defaultRowHeight="15"/>
  <sheetData>
    <row r="1">
      <c r="A1" s="1" t="inlineStr">
        <is>
          <t>ACI</t>
        </is>
      </c>
      <c r="B1" s="1" t="inlineStr">
        <is>
          <t>CF</t>
        </is>
      </c>
    </row>
    <row r="2">
      <c r="A2" s="1" t="n">
        <v>0</v>
      </c>
      <c r="B2" s="2">
        <f>IF(A2&gt;=80,0,(80-A2)/80*100)</f>
        <v/>
      </c>
    </row>
    <row r="3">
      <c r="A3" s="1" t="n">
        <v>1</v>
      </c>
      <c r="B3" s="2">
        <f>IF(A3&gt;=80,0,(80-A3)/80*100)</f>
        <v/>
      </c>
    </row>
    <row r="4">
      <c r="A4" s="1" t="n">
        <v>2</v>
      </c>
      <c r="B4" s="2">
        <f>IF(A4&gt;=80,0,(80-A4)/80*100)</f>
        <v/>
      </c>
    </row>
    <row r="5">
      <c r="A5" s="1" t="n">
        <v>3</v>
      </c>
      <c r="B5" s="2">
        <f>IF(A5&gt;=80,0,(80-A5)/80*100)</f>
        <v/>
      </c>
    </row>
    <row r="6">
      <c r="A6" s="1" t="n">
        <v>4</v>
      </c>
      <c r="B6" s="2">
        <f>IF(A6&gt;=80,0,(80-A6)/80*100)</f>
        <v/>
      </c>
    </row>
    <row r="7">
      <c r="A7" s="1" t="n">
        <v>5</v>
      </c>
      <c r="B7" s="2">
        <f>IF(A7&gt;=80,0,(80-A7)/80*100)</f>
        <v/>
      </c>
    </row>
    <row r="8">
      <c r="A8" s="1" t="n">
        <v>6</v>
      </c>
      <c r="B8" s="2">
        <f>IF(A8&gt;=80,0,(80-A8)/80*100)</f>
        <v/>
      </c>
    </row>
    <row r="9">
      <c r="A9" s="1" t="n">
        <v>7</v>
      </c>
      <c r="B9" s="2">
        <f>IF(A9&gt;=80,0,(80-A9)/80*100)</f>
        <v/>
      </c>
    </row>
    <row r="10">
      <c r="A10" s="1" t="n">
        <v>8</v>
      </c>
      <c r="B10" s="2">
        <f>IF(A10&gt;=80,0,(80-A10)/80*100)</f>
        <v/>
      </c>
    </row>
    <row r="11">
      <c r="A11" s="1" t="n">
        <v>9</v>
      </c>
      <c r="B11" s="2">
        <f>IF(A11&gt;=80,0,(80-A11)/80*100)</f>
        <v/>
      </c>
    </row>
    <row r="12">
      <c r="A12" s="1" t="n">
        <v>10</v>
      </c>
      <c r="B12" s="2">
        <f>IF(A12&gt;=80,0,(80-A12)/80*100)</f>
        <v/>
      </c>
    </row>
    <row r="13">
      <c r="A13" s="1" t="n">
        <v>11</v>
      </c>
      <c r="B13" s="2">
        <f>IF(A13&gt;=80,0,(80-A13)/80*100)</f>
        <v/>
      </c>
    </row>
    <row r="14">
      <c r="A14" s="1" t="n">
        <v>12</v>
      </c>
      <c r="B14" s="2">
        <f>IF(A14&gt;=80,0,(80-A14)/80*100)</f>
        <v/>
      </c>
    </row>
    <row r="15">
      <c r="A15" s="1" t="n">
        <v>13</v>
      </c>
      <c r="B15" s="2">
        <f>IF(A15&gt;=80,0,(80-A15)/80*100)</f>
        <v/>
      </c>
    </row>
    <row r="16">
      <c r="A16" s="1" t="n">
        <v>14</v>
      </c>
      <c r="B16" s="2">
        <f>IF(A16&gt;=80,0,(80-A16)/80*100)</f>
        <v/>
      </c>
    </row>
    <row r="17">
      <c r="A17" s="1" t="n">
        <v>15</v>
      </c>
      <c r="B17" s="2">
        <f>IF(A17&gt;=80,0,(80-A17)/80*100)</f>
        <v/>
      </c>
    </row>
    <row r="18">
      <c r="A18" s="1" t="n">
        <v>16</v>
      </c>
      <c r="B18" s="2">
        <f>IF(A18&gt;=80,0,(80-A18)/80*100)</f>
        <v/>
      </c>
    </row>
    <row r="19">
      <c r="A19" s="1" t="n">
        <v>17</v>
      </c>
      <c r="B19" s="2">
        <f>IF(A19&gt;=80,0,(80-A19)/80*100)</f>
        <v/>
      </c>
    </row>
    <row r="20">
      <c r="A20" s="1" t="n">
        <v>18</v>
      </c>
      <c r="B20" s="2">
        <f>IF(A20&gt;=80,0,(80-A20)/80*100)</f>
        <v/>
      </c>
    </row>
    <row r="21">
      <c r="A21" s="1" t="n">
        <v>19</v>
      </c>
      <c r="B21" s="2">
        <f>IF(A21&gt;=80,0,(80-A21)/80*100)</f>
        <v/>
      </c>
    </row>
    <row r="22">
      <c r="A22" s="1" t="n">
        <v>20</v>
      </c>
      <c r="B22" s="2">
        <f>IF(A22&gt;=80,0,(80-A22)/80*100)</f>
        <v/>
      </c>
    </row>
    <row r="23">
      <c r="A23" s="1" t="n">
        <v>21</v>
      </c>
      <c r="B23" s="2">
        <f>IF(A23&gt;=80,0,(80-A23)/80*100)</f>
        <v/>
      </c>
    </row>
    <row r="24">
      <c r="A24" s="1" t="n">
        <v>22</v>
      </c>
      <c r="B24" s="2">
        <f>IF(A24&gt;=80,0,(80-A24)/80*100)</f>
        <v/>
      </c>
    </row>
    <row r="25">
      <c r="A25" s="1" t="n">
        <v>23</v>
      </c>
      <c r="B25" s="2">
        <f>IF(A25&gt;=80,0,(80-A25)/80*100)</f>
        <v/>
      </c>
    </row>
    <row r="26">
      <c r="A26" s="1" t="n">
        <v>24</v>
      </c>
      <c r="B26" s="2">
        <f>IF(A26&gt;=80,0,(80-A26)/80*100)</f>
        <v/>
      </c>
    </row>
    <row r="27">
      <c r="A27" s="1" t="n">
        <v>25</v>
      </c>
      <c r="B27" s="2">
        <f>IF(A27&gt;=80,0,(80-A27)/80*100)</f>
        <v/>
      </c>
    </row>
    <row r="28">
      <c r="A28" s="1" t="n">
        <v>26</v>
      </c>
      <c r="B28" s="2">
        <f>IF(A28&gt;=80,0,(80-A28)/80*100)</f>
        <v/>
      </c>
    </row>
    <row r="29">
      <c r="A29" s="1" t="n">
        <v>27</v>
      </c>
      <c r="B29" s="2">
        <f>IF(A29&gt;=80,0,(80-A29)/80*100)</f>
        <v/>
      </c>
    </row>
    <row r="30">
      <c r="A30" s="1" t="n">
        <v>28</v>
      </c>
      <c r="B30" s="2">
        <f>IF(A30&gt;=80,0,(80-A30)/80*100)</f>
        <v/>
      </c>
    </row>
    <row r="31">
      <c r="A31" s="1" t="n">
        <v>29</v>
      </c>
      <c r="B31" s="2">
        <f>IF(A31&gt;=80,0,(80-A31)/80*100)</f>
        <v/>
      </c>
    </row>
    <row r="32">
      <c r="A32" s="1" t="n">
        <v>30</v>
      </c>
      <c r="B32" s="2">
        <f>IF(A32&gt;=80,0,(80-A32)/80*100)</f>
        <v/>
      </c>
    </row>
    <row r="33">
      <c r="A33" s="1" t="n">
        <v>31</v>
      </c>
      <c r="B33" s="2">
        <f>IF(A33&gt;=80,0,(80-A33)/80*100)</f>
        <v/>
      </c>
    </row>
    <row r="34">
      <c r="A34" s="1" t="n">
        <v>32</v>
      </c>
      <c r="B34" s="2">
        <f>IF(A34&gt;=80,0,(80-A34)/80*100)</f>
        <v/>
      </c>
    </row>
    <row r="35">
      <c r="A35" s="1" t="n">
        <v>33</v>
      </c>
      <c r="B35" s="2">
        <f>IF(A35&gt;=80,0,(80-A35)/80*100)</f>
        <v/>
      </c>
    </row>
    <row r="36">
      <c r="A36" s="1" t="n">
        <v>34</v>
      </c>
      <c r="B36" s="2">
        <f>IF(A36&gt;=80,0,(80-A36)/80*100)</f>
        <v/>
      </c>
    </row>
    <row r="37">
      <c r="A37" s="1" t="n">
        <v>35</v>
      </c>
      <c r="B37" s="2">
        <f>IF(A37&gt;=80,0,(80-A37)/80*100)</f>
        <v/>
      </c>
    </row>
    <row r="38">
      <c r="A38" s="1" t="n">
        <v>36</v>
      </c>
      <c r="B38" s="2">
        <f>IF(A38&gt;=80,0,(80-A38)/80*100)</f>
        <v/>
      </c>
    </row>
    <row r="39">
      <c r="A39" s="1" t="n">
        <v>37</v>
      </c>
      <c r="B39" s="2">
        <f>IF(A39&gt;=80,0,(80-A39)/80*100)</f>
        <v/>
      </c>
    </row>
    <row r="40">
      <c r="A40" s="1" t="n">
        <v>38</v>
      </c>
      <c r="B40" s="2">
        <f>IF(A40&gt;=80,0,(80-A40)/80*100)</f>
        <v/>
      </c>
    </row>
    <row r="41">
      <c r="A41" s="1" t="n">
        <v>39</v>
      </c>
      <c r="B41" s="2">
        <f>IF(A41&gt;=80,0,(80-A41)/80*100)</f>
        <v/>
      </c>
    </row>
    <row r="42">
      <c r="A42" s="1" t="n">
        <v>40</v>
      </c>
      <c r="B42" s="2">
        <f>IF(A42&gt;=80,0,(80-A42)/80*100)</f>
        <v/>
      </c>
    </row>
    <row r="43">
      <c r="A43" s="1" t="n">
        <v>41</v>
      </c>
      <c r="B43" s="2">
        <f>IF(A43&gt;=80,0,(80-A43)/80*100)</f>
        <v/>
      </c>
    </row>
    <row r="44">
      <c r="A44" s="1" t="n">
        <v>42</v>
      </c>
      <c r="B44" s="2">
        <f>IF(A44&gt;=80,0,(80-A44)/80*100)</f>
        <v/>
      </c>
    </row>
    <row r="45">
      <c r="A45" s="1" t="n">
        <v>43</v>
      </c>
      <c r="B45" s="2">
        <f>IF(A45&gt;=80,0,(80-A45)/80*100)</f>
        <v/>
      </c>
    </row>
    <row r="46">
      <c r="A46" s="1" t="n">
        <v>44</v>
      </c>
      <c r="B46" s="2">
        <f>IF(A46&gt;=80,0,(80-A46)/80*100)</f>
        <v/>
      </c>
    </row>
    <row r="47">
      <c r="A47" s="1" t="n">
        <v>45</v>
      </c>
      <c r="B47" s="2">
        <f>IF(A47&gt;=80,0,(80-A47)/80*100)</f>
        <v/>
      </c>
    </row>
    <row r="48">
      <c r="A48" s="1" t="n">
        <v>46</v>
      </c>
      <c r="B48" s="2">
        <f>IF(A48&gt;=80,0,(80-A48)/80*100)</f>
        <v/>
      </c>
    </row>
    <row r="49">
      <c r="A49" s="1" t="n">
        <v>47</v>
      </c>
      <c r="B49" s="2">
        <f>IF(A49&gt;=80,0,(80-A49)/80*100)</f>
        <v/>
      </c>
    </row>
    <row r="50">
      <c r="A50" s="1" t="n">
        <v>48</v>
      </c>
      <c r="B50" s="2">
        <f>IF(A50&gt;=80,0,(80-A50)/80*100)</f>
        <v/>
      </c>
    </row>
    <row r="51">
      <c r="A51" s="1" t="n">
        <v>49</v>
      </c>
      <c r="B51" s="2">
        <f>IF(A51&gt;=80,0,(80-A51)/80*100)</f>
        <v/>
      </c>
    </row>
    <row r="52">
      <c r="A52" s="1" t="n">
        <v>50</v>
      </c>
      <c r="B52" s="2">
        <f>IF(A52&gt;=80,0,(80-A52)/80*100)</f>
        <v/>
      </c>
    </row>
    <row r="53">
      <c r="A53" s="1" t="n">
        <v>51</v>
      </c>
      <c r="B53" s="2">
        <f>IF(A53&gt;=80,0,(80-A53)/80*100)</f>
        <v/>
      </c>
    </row>
    <row r="54">
      <c r="A54" s="1" t="n">
        <v>52</v>
      </c>
      <c r="B54" s="2">
        <f>IF(A54&gt;=80,0,(80-A54)/80*100)</f>
        <v/>
      </c>
    </row>
    <row r="55">
      <c r="A55" s="1" t="n">
        <v>53</v>
      </c>
      <c r="B55" s="2">
        <f>IF(A55&gt;=80,0,(80-A55)/80*100)</f>
        <v/>
      </c>
    </row>
    <row r="56">
      <c r="A56" s="1" t="n">
        <v>54</v>
      </c>
      <c r="B56" s="2">
        <f>IF(A56&gt;=80,0,(80-A56)/80*100)</f>
        <v/>
      </c>
    </row>
    <row r="57">
      <c r="A57" s="1" t="n">
        <v>55</v>
      </c>
      <c r="B57" s="2">
        <f>IF(A57&gt;=80,0,(80-A57)/80*100)</f>
        <v/>
      </c>
    </row>
    <row r="58">
      <c r="A58" s="1" t="n">
        <v>56</v>
      </c>
      <c r="B58" s="2">
        <f>IF(A58&gt;=80,0,(80-A58)/80*100)</f>
        <v/>
      </c>
    </row>
    <row r="59">
      <c r="A59" s="1" t="n">
        <v>57</v>
      </c>
      <c r="B59" s="2">
        <f>IF(A59&gt;=80,0,(80-A59)/80*100)</f>
        <v/>
      </c>
    </row>
    <row r="60">
      <c r="A60" s="1" t="n">
        <v>58</v>
      </c>
      <c r="B60" s="2">
        <f>IF(A60&gt;=80,0,(80-A60)/80*100)</f>
        <v/>
      </c>
    </row>
    <row r="61">
      <c r="A61" s="1" t="n">
        <v>59</v>
      </c>
      <c r="B61" s="2">
        <f>IF(A61&gt;=80,0,(80-A61)/80*100)</f>
        <v/>
      </c>
    </row>
    <row r="62">
      <c r="A62" s="1" t="n">
        <v>60</v>
      </c>
      <c r="B62" s="2">
        <f>IF(A62&gt;=80,0,(80-A62)/80*100)</f>
        <v/>
      </c>
    </row>
    <row r="63">
      <c r="A63" s="1" t="n">
        <v>61</v>
      </c>
      <c r="B63" s="2">
        <f>IF(A63&gt;=80,0,(80-A63)/80*100)</f>
        <v/>
      </c>
    </row>
    <row r="64">
      <c r="A64" s="1" t="n">
        <v>62</v>
      </c>
      <c r="B64" s="2">
        <f>IF(A64&gt;=80,0,(80-A64)/80*100)</f>
        <v/>
      </c>
    </row>
    <row r="65">
      <c r="A65" s="1" t="n">
        <v>63</v>
      </c>
      <c r="B65" s="2">
        <f>IF(A65&gt;=80,0,(80-A65)/80*100)</f>
        <v/>
      </c>
    </row>
    <row r="66">
      <c r="A66" s="1" t="n">
        <v>64</v>
      </c>
      <c r="B66" s="2">
        <f>IF(A66&gt;=80,0,(80-A66)/80*100)</f>
        <v/>
      </c>
    </row>
    <row r="67">
      <c r="A67" s="1" t="n">
        <v>65</v>
      </c>
      <c r="B67" s="2">
        <f>IF(A67&gt;=80,0,(80-A67)/80*100)</f>
        <v/>
      </c>
    </row>
    <row r="68">
      <c r="A68" s="1" t="n">
        <v>66</v>
      </c>
      <c r="B68" s="2">
        <f>IF(A68&gt;=80,0,(80-A68)/80*100)</f>
        <v/>
      </c>
    </row>
    <row r="69">
      <c r="A69" s="1" t="n">
        <v>67</v>
      </c>
      <c r="B69" s="2">
        <f>IF(A69&gt;=80,0,(80-A69)/80*100)</f>
        <v/>
      </c>
    </row>
    <row r="70">
      <c r="A70" s="1" t="n">
        <v>68</v>
      </c>
      <c r="B70" s="2">
        <f>IF(A70&gt;=80,0,(80-A70)/80*100)</f>
        <v/>
      </c>
    </row>
    <row r="71">
      <c r="A71" s="1" t="n">
        <v>69</v>
      </c>
      <c r="B71" s="2">
        <f>IF(A71&gt;=80,0,(80-A71)/80*100)</f>
        <v/>
      </c>
    </row>
    <row r="72">
      <c r="A72" s="1" t="n">
        <v>70</v>
      </c>
      <c r="B72" s="2">
        <f>IF(A72&gt;=80,0,(80-A72)/80*100)</f>
        <v/>
      </c>
    </row>
    <row r="73">
      <c r="A73" s="1" t="n">
        <v>71</v>
      </c>
      <c r="B73" s="2">
        <f>IF(A73&gt;=80,0,(80-A73)/80*100)</f>
        <v/>
      </c>
    </row>
    <row r="74">
      <c r="A74" s="1" t="n">
        <v>72</v>
      </c>
      <c r="B74" s="2">
        <f>IF(A74&gt;=80,0,(80-A74)/80*100)</f>
        <v/>
      </c>
    </row>
    <row r="75">
      <c r="A75" s="1" t="n">
        <v>73</v>
      </c>
      <c r="B75" s="2">
        <f>IF(A75&gt;=80,0,(80-A75)/80*100)</f>
        <v/>
      </c>
    </row>
    <row r="76">
      <c r="A76" s="1" t="n">
        <v>74</v>
      </c>
      <c r="B76" s="2">
        <f>IF(A76&gt;=80,0,(80-A76)/80*100)</f>
        <v/>
      </c>
    </row>
    <row r="77">
      <c r="A77" s="1" t="n">
        <v>75</v>
      </c>
      <c r="B77" s="2">
        <f>IF(A77&gt;=80,0,(80-A77)/80*100)</f>
        <v/>
      </c>
    </row>
    <row r="78">
      <c r="A78" s="1" t="n">
        <v>76</v>
      </c>
      <c r="B78" s="2">
        <f>IF(A78&gt;=80,0,(80-A78)/80*100)</f>
        <v/>
      </c>
    </row>
    <row r="79">
      <c r="A79" s="1" t="n">
        <v>77</v>
      </c>
      <c r="B79" s="2">
        <f>IF(A79&gt;=80,0,(80-A79)/80*100)</f>
        <v/>
      </c>
    </row>
    <row r="80">
      <c r="A80" s="1" t="n">
        <v>78</v>
      </c>
      <c r="B80" s="2">
        <f>IF(A80&gt;=80,0,(80-A80)/80*100)</f>
        <v/>
      </c>
    </row>
    <row r="81">
      <c r="A81" s="1" t="n">
        <v>79</v>
      </c>
      <c r="B81" s="2">
        <f>IF(A81&gt;=80,0,(80-A81)/80*100)</f>
        <v/>
      </c>
    </row>
    <row r="82">
      <c r="A82" s="1" t="n">
        <v>80</v>
      </c>
      <c r="B82" s="2">
        <f>IF(A82&gt;=80,0,(80-A82)/80*100)</f>
        <v/>
      </c>
    </row>
    <row r="83">
      <c r="A83" s="1" t="n">
        <v>81</v>
      </c>
      <c r="B83" s="2">
        <f>IF(A83&gt;=80,0,(80-A83)/80*100)</f>
        <v/>
      </c>
    </row>
    <row r="84">
      <c r="A84" s="1" t="n">
        <v>82</v>
      </c>
      <c r="B84" s="2">
        <f>IF(A84&gt;=80,0,(80-A84)/80*100)</f>
        <v/>
      </c>
    </row>
    <row r="85">
      <c r="A85" s="1" t="n">
        <v>83</v>
      </c>
      <c r="B85" s="2">
        <f>IF(A85&gt;=80,0,(80-A85)/80*100)</f>
        <v/>
      </c>
    </row>
    <row r="86">
      <c r="A86" s="1" t="n">
        <v>84</v>
      </c>
      <c r="B86" s="2">
        <f>IF(A86&gt;=80,0,(80-A86)/80*100)</f>
        <v/>
      </c>
    </row>
    <row r="87">
      <c r="A87" s="1" t="n">
        <v>85</v>
      </c>
      <c r="B87" s="2">
        <f>IF(A87&gt;=80,0,(80-A87)/80*100)</f>
        <v/>
      </c>
    </row>
    <row r="88">
      <c r="A88" s="1" t="n">
        <v>86</v>
      </c>
      <c r="B88" s="2">
        <f>IF(A88&gt;=80,0,(80-A88)/80*100)</f>
        <v/>
      </c>
    </row>
    <row r="89">
      <c r="A89" s="1" t="n">
        <v>87</v>
      </c>
      <c r="B89" s="2">
        <f>IF(A89&gt;=80,0,(80-A89)/80*100)</f>
        <v/>
      </c>
    </row>
    <row r="90">
      <c r="A90" s="1" t="n">
        <v>88</v>
      </c>
      <c r="B90" s="2">
        <f>IF(A90&gt;=80,0,(80-A90)/80*100)</f>
        <v/>
      </c>
    </row>
    <row r="91">
      <c r="A91" s="1" t="n">
        <v>89</v>
      </c>
      <c r="B91" s="2">
        <f>IF(A91&gt;=80,0,(80-A91)/80*100)</f>
        <v/>
      </c>
    </row>
    <row r="92">
      <c r="A92" s="1" t="n">
        <v>90</v>
      </c>
      <c r="B92" s="2">
        <f>IF(A92&gt;=80,0,(80-A92)/80*100)</f>
        <v/>
      </c>
    </row>
    <row r="93">
      <c r="A93" s="1" t="n">
        <v>91</v>
      </c>
      <c r="B93" s="2">
        <f>IF(A93&gt;=80,0,(80-A93)/80*100)</f>
        <v/>
      </c>
    </row>
    <row r="94">
      <c r="A94" s="1" t="n">
        <v>92</v>
      </c>
      <c r="B94" s="2">
        <f>IF(A94&gt;=80,0,(80-A94)/80*100)</f>
        <v/>
      </c>
    </row>
    <row r="95">
      <c r="A95" s="1" t="n">
        <v>93</v>
      </c>
      <c r="B95" s="2">
        <f>IF(A95&gt;=80,0,(80-A95)/80*100)</f>
        <v/>
      </c>
    </row>
    <row r="96">
      <c r="A96" s="1" t="n">
        <v>94</v>
      </c>
      <c r="B96" s="2">
        <f>IF(A96&gt;=80,0,(80-A96)/80*100)</f>
        <v/>
      </c>
    </row>
    <row r="97">
      <c r="A97" s="1" t="n">
        <v>95</v>
      </c>
      <c r="B97" s="2">
        <f>IF(A97&gt;=80,0,(80-A97)/80*100)</f>
        <v/>
      </c>
    </row>
    <row r="98">
      <c r="A98" s="1" t="n">
        <v>96</v>
      </c>
      <c r="B98" s="2">
        <f>IF(A98&gt;=80,0,(80-A98)/80*100)</f>
        <v/>
      </c>
    </row>
    <row r="99">
      <c r="A99" s="1" t="n">
        <v>97</v>
      </c>
      <c r="B99" s="2">
        <f>IF(A99&gt;=80,0,(80-A99)/80*100)</f>
        <v/>
      </c>
    </row>
    <row r="100">
      <c r="A100" s="1" t="n">
        <v>98</v>
      </c>
      <c r="B100" s="2">
        <f>IF(A100&gt;=80,0,(80-A100)/80*100)</f>
        <v/>
      </c>
    </row>
    <row r="101">
      <c r="A101" s="1" t="n">
        <v>99</v>
      </c>
      <c r="B101" s="2">
        <f>IF(A101&gt;=80,0,(80-A101)/80*100)</f>
        <v/>
      </c>
    </row>
    <row r="102">
      <c r="A102" s="1" t="n">
        <v>100</v>
      </c>
      <c r="B102" s="2">
        <f>IF(A102&gt;=80,0,(80-A102)/80*100)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zoomScale="145" zoomScaleNormal="145" workbookViewId="0">
      <selection activeCell="D11" sqref="D11"/>
    </sheetView>
  </sheetViews>
  <sheetFormatPr baseColWidth="8" defaultRowHeight="15"/>
  <cols>
    <col width="3.42578125" bestFit="1" customWidth="1" min="1" max="1"/>
    <col width="19.5703125" bestFit="1" customWidth="1" min="2" max="2"/>
    <col width="7.5703125" bestFit="1" customWidth="1" min="3" max="3"/>
    <col width="9.42578125" bestFit="1" customWidth="1" min="4" max="4"/>
    <col width="9.42578125" customWidth="1" min="5" max="5"/>
  </cols>
  <sheetData>
    <row r="1" ht="30" customHeight="1">
      <c r="A1" s="3" t="inlineStr">
        <is>
          <t>SN</t>
        </is>
      </c>
      <c r="B1" s="3" t="inlineStr">
        <is>
          <t>Asset Name</t>
        </is>
      </c>
      <c r="C1" s="14" t="inlineStr">
        <is>
          <t>Priority Level</t>
        </is>
      </c>
      <c r="D1" s="14" t="inlineStr">
        <is>
          <t>Total Risk Score</t>
        </is>
      </c>
      <c r="E1" s="4" t="inlineStr">
        <is>
          <t>RF</t>
        </is>
      </c>
    </row>
    <row r="2" ht="15.75" customHeight="1" thickBot="1">
      <c r="A2" s="5" t="n">
        <v>1</v>
      </c>
      <c r="B2" s="6" t="inlineStr">
        <is>
          <t>Traffic Signal</t>
        </is>
      </c>
      <c r="C2" s="7" t="inlineStr">
        <is>
          <t>H</t>
        </is>
      </c>
      <c r="D2" s="8" t="n">
        <v>117</v>
      </c>
      <c r="E2" s="13">
        <f>10+((D2-MIN(D$2:D$33))/(MAX(D$2:D$33)-MIN(D$2:D$33)))*(100-10)</f>
        <v/>
      </c>
    </row>
    <row r="3" ht="15.75" customHeight="1" thickBot="1">
      <c r="A3" s="5" t="n">
        <v>2</v>
      </c>
      <c r="B3" s="6" t="inlineStr">
        <is>
          <t>Road Sign</t>
        </is>
      </c>
      <c r="C3" s="7" t="inlineStr">
        <is>
          <t>H</t>
        </is>
      </c>
      <c r="D3" s="8" t="n">
        <v>109</v>
      </c>
      <c r="E3" s="13">
        <f>10+((D3-MIN(D$2:D$33))/(MAX(D$2:D$33)-MIN(D$2:D$33)))*(100-10)</f>
        <v/>
      </c>
    </row>
    <row r="4" ht="15.75" customHeight="1" thickBot="1">
      <c r="A4" s="5" t="n">
        <v>3</v>
      </c>
      <c r="B4" s="6" t="inlineStr">
        <is>
          <t>Streetlight</t>
        </is>
      </c>
      <c r="C4" s="7" t="inlineStr">
        <is>
          <t>H</t>
        </is>
      </c>
      <c r="D4" s="8" t="n">
        <v>101</v>
      </c>
      <c r="E4" s="13">
        <f>10+((D4-MIN(D$2:D$33))/(MAX(D$2:D$33)-MIN(D$2:D$33)))*(100-10)</f>
        <v/>
      </c>
    </row>
    <row r="5" ht="15.75" customHeight="1" thickBot="1">
      <c r="A5" s="5" t="n">
        <v>4</v>
      </c>
      <c r="B5" s="6" t="inlineStr">
        <is>
          <t>Crash Cushion</t>
        </is>
      </c>
      <c r="C5" s="7" t="inlineStr">
        <is>
          <t>H</t>
        </is>
      </c>
      <c r="D5" s="8" t="n">
        <v>97</v>
      </c>
      <c r="E5" s="13">
        <f>10+((D5-MIN(D$2:D$33))/(MAX(D$2:D$33)-MIN(D$2:D$33)))*(100-10)</f>
        <v/>
      </c>
    </row>
    <row r="6" ht="15.75" customHeight="1" thickBot="1">
      <c r="A6" s="5" t="n">
        <v>5</v>
      </c>
      <c r="B6" s="6" t="inlineStr">
        <is>
          <t>Road Marking</t>
        </is>
      </c>
      <c r="C6" s="7" t="inlineStr">
        <is>
          <t>H</t>
        </is>
      </c>
      <c r="D6" s="8" t="n">
        <v>96</v>
      </c>
      <c r="E6" s="13">
        <f>10+((D6-MIN(D$2:D$33))/(MAX(D$2:D$33)-MIN(D$2:D$33)))*(100-10)</f>
        <v/>
      </c>
    </row>
    <row r="7" ht="15.75" customHeight="1" thickBot="1">
      <c r="A7" s="5" t="n">
        <v>6</v>
      </c>
      <c r="B7" s="6" t="inlineStr">
        <is>
          <t>Road Hump</t>
        </is>
      </c>
      <c r="C7" s="7" t="inlineStr">
        <is>
          <t>H</t>
        </is>
      </c>
      <c r="D7" s="8" t="n">
        <v>89</v>
      </c>
      <c r="E7" s="13">
        <f>10+((D7-MIN(D$2:D$33))/(MAX(D$2:D$33)-MIN(D$2:D$33)))*(100-10)</f>
        <v/>
      </c>
    </row>
    <row r="8" ht="15.75" customHeight="1" thickBot="1">
      <c r="A8" s="5" t="n">
        <v>7</v>
      </c>
      <c r="B8" s="6" t="inlineStr">
        <is>
          <t>Road Studs</t>
        </is>
      </c>
      <c r="C8" s="7" t="inlineStr">
        <is>
          <t>H</t>
        </is>
      </c>
      <c r="D8" s="8" t="n">
        <v>88</v>
      </c>
      <c r="E8" s="13">
        <f>10+((D8-MIN(D$2:D$33))/(MAX(D$2:D$33)-MIN(D$2:D$33)))*(100-10)</f>
        <v/>
      </c>
    </row>
    <row r="9" ht="15.75" customHeight="1" thickBot="1">
      <c r="A9" s="5" t="n">
        <v>8</v>
      </c>
      <c r="B9" s="6" t="inlineStr">
        <is>
          <t>Barrier</t>
        </is>
      </c>
      <c r="C9" s="7" t="inlineStr">
        <is>
          <t>H</t>
        </is>
      </c>
      <c r="D9" s="8" t="n">
        <v>88</v>
      </c>
      <c r="E9" s="13">
        <f>10+((D9-MIN(D$2:D$33))/(MAX(D$2:D$33)-MIN(D$2:D$33)))*(100-10)</f>
        <v/>
      </c>
    </row>
    <row r="10" ht="15.75" customHeight="1" thickBot="1">
      <c r="A10" s="5" t="n">
        <v>9</v>
      </c>
      <c r="B10" s="6" t="inlineStr">
        <is>
          <t>Guardrail</t>
        </is>
      </c>
      <c r="C10" s="7" t="inlineStr">
        <is>
          <t>H</t>
        </is>
      </c>
      <c r="D10" s="8" t="n">
        <v>85</v>
      </c>
      <c r="E10" s="13">
        <f>10+((D10-MIN(D$2:D$33))/(MAX(D$2:D$33)-MIN(D$2:D$33)))*(100-10)</f>
        <v/>
      </c>
    </row>
    <row r="11" ht="15.75" customHeight="1" thickBot="1">
      <c r="A11" s="5" t="n">
        <v>10</v>
      </c>
      <c r="B11" s="6" t="inlineStr">
        <is>
          <t>Road Gantry</t>
        </is>
      </c>
      <c r="C11" s="7" t="inlineStr">
        <is>
          <t>H</t>
        </is>
      </c>
      <c r="D11" s="8" t="n">
        <v>83</v>
      </c>
      <c r="E11" s="13">
        <f>10+((D11-MIN(D$2:D$33))/(MAX(D$2:D$33)-MIN(D$2:D$33)))*(100-10)</f>
        <v/>
      </c>
    </row>
    <row r="12" ht="15.75" customHeight="1" thickBot="1">
      <c r="A12" s="5" t="n">
        <v>11</v>
      </c>
      <c r="B12" s="6" t="inlineStr">
        <is>
          <t>Pedestrian Crossing</t>
        </is>
      </c>
      <c r="C12" s="7" t="inlineStr">
        <is>
          <t>H</t>
        </is>
      </c>
      <c r="D12" s="8" t="n">
        <v>82</v>
      </c>
      <c r="E12" s="13">
        <f>10+((D12-MIN(D$2:D$33))/(MAX(D$2:D$33)-MIN(D$2:D$33)))*(100-10)</f>
        <v/>
      </c>
    </row>
    <row r="13" ht="15.75" customHeight="1" thickBot="1">
      <c r="A13" s="5" t="n">
        <v>12</v>
      </c>
      <c r="B13" s="6" t="inlineStr">
        <is>
          <t>Fence</t>
        </is>
      </c>
      <c r="C13" s="7" t="inlineStr">
        <is>
          <t>H</t>
        </is>
      </c>
      <c r="D13" s="8" t="n">
        <v>80</v>
      </c>
      <c r="E13" s="13">
        <f>10+((D13-MIN(D$2:D$33))/(MAX(D$2:D$33)-MIN(D$2:D$33)))*(100-10)</f>
        <v/>
      </c>
    </row>
    <row r="14" ht="15.75" customHeight="1" thickBot="1">
      <c r="A14" s="5" t="n">
        <v>13</v>
      </c>
      <c r="B14" s="6" t="inlineStr">
        <is>
          <t>Roadside Camera</t>
        </is>
      </c>
      <c r="C14" s="7" t="inlineStr">
        <is>
          <t>M</t>
        </is>
      </c>
      <c r="D14" s="8" t="n">
        <v>80</v>
      </c>
      <c r="E14" s="13">
        <f>10+((D14-MIN(D$2:D$33))/(MAX(D$2:D$33)-MIN(D$2:D$33)))*(100-10)</f>
        <v/>
      </c>
    </row>
    <row r="15" ht="15.75" customHeight="1" thickBot="1">
      <c r="A15" s="5" t="n">
        <v>14</v>
      </c>
      <c r="B15" s="6" t="inlineStr">
        <is>
          <t>Control Cabinet</t>
        </is>
      </c>
      <c r="C15" s="7" t="inlineStr">
        <is>
          <t>M</t>
        </is>
      </c>
      <c r="D15" s="8" t="n">
        <v>80</v>
      </c>
      <c r="E15" s="13">
        <f>10+((D15-MIN(D$2:D$33))/(MAX(D$2:D$33)-MIN(D$2:D$33)))*(100-10)</f>
        <v/>
      </c>
    </row>
    <row r="16" ht="15.75" customHeight="1" thickBot="1">
      <c r="A16" s="5" t="n">
        <v>15</v>
      </c>
      <c r="B16" s="6" t="inlineStr">
        <is>
          <t>Manhole</t>
        </is>
      </c>
      <c r="C16" s="7" t="inlineStr">
        <is>
          <t>M</t>
        </is>
      </c>
      <c r="D16" s="8" t="n">
        <v>79</v>
      </c>
      <c r="E16" s="13">
        <f>10+((D16-MIN(D$2:D$33))/(MAX(D$2:D$33)-MIN(D$2:D$33)))*(100-10)</f>
        <v/>
      </c>
    </row>
    <row r="17" ht="15.75" customHeight="1" thickBot="1">
      <c r="A17" s="5" t="n">
        <v>16</v>
      </c>
      <c r="B17" s="6" t="inlineStr">
        <is>
          <t>Drainage Point</t>
        </is>
      </c>
      <c r="C17" s="7" t="inlineStr">
        <is>
          <t>M</t>
        </is>
      </c>
      <c r="D17" s="8" t="n">
        <v>78</v>
      </c>
      <c r="E17" s="13">
        <f>10+((D17-MIN(D$2:D$33))/(MAX(D$2:D$33)-MIN(D$2:D$33)))*(100-10)</f>
        <v/>
      </c>
    </row>
    <row r="18" ht="15.75" customHeight="1" thickBot="1">
      <c r="A18" s="5" t="n">
        <v>17</v>
      </c>
      <c r="B18" s="6" t="inlineStr">
        <is>
          <t>Curb Stone</t>
        </is>
      </c>
      <c r="C18" s="7" t="inlineStr">
        <is>
          <t>M</t>
        </is>
      </c>
      <c r="D18" s="8" t="n">
        <v>77</v>
      </c>
      <c r="E18" s="13">
        <f>10+((D18-MIN(D$2:D$33))/(MAX(D$2:D$33)-MIN(D$2:D$33)))*(100-10)</f>
        <v/>
      </c>
    </row>
    <row r="19" ht="15.75" customHeight="1" thickBot="1">
      <c r="A19" s="5" t="n">
        <v>18</v>
      </c>
      <c r="B19" s="6" t="inlineStr">
        <is>
          <t>Footpath</t>
        </is>
      </c>
      <c r="C19" s="7" t="inlineStr">
        <is>
          <t>M</t>
        </is>
      </c>
      <c r="D19" s="8" t="n">
        <v>75</v>
      </c>
      <c r="E19" s="13">
        <f>10+((D19-MIN(D$2:D$33))/(MAX(D$2:D$33)-MIN(D$2:D$33)))*(100-10)</f>
        <v/>
      </c>
      <c r="F19" t="n">
        <v>74</v>
      </c>
    </row>
    <row r="20" ht="15.75" customHeight="1" thickBot="1">
      <c r="A20" s="5" t="n">
        <v>19</v>
      </c>
      <c r="B20" s="6" t="inlineStr">
        <is>
          <t>Gully</t>
        </is>
      </c>
      <c r="C20" s="7" t="inlineStr">
        <is>
          <t>M</t>
        </is>
      </c>
      <c r="D20" s="8" t="n">
        <v>74</v>
      </c>
      <c r="E20" s="13">
        <f>10+((D20-MIN(D$2:D$33))/(MAX(D$2:D$33)-MIN(D$2:D$33)))*(100-10)</f>
        <v/>
      </c>
      <c r="F20" t="n">
        <v>70</v>
      </c>
    </row>
    <row r="21" ht="15.75" customHeight="1" thickBot="1">
      <c r="A21" s="5" t="n">
        <v>20</v>
      </c>
      <c r="B21" s="6" t="inlineStr">
        <is>
          <t>Bollards</t>
        </is>
      </c>
      <c r="C21" s="7" t="inlineStr">
        <is>
          <t>M</t>
        </is>
      </c>
      <c r="D21" s="8" t="n">
        <v>74</v>
      </c>
      <c r="E21" s="13">
        <f>10+((D21-MIN(D$2:D$33))/(MAX(D$2:D$33)-MIN(D$2:D$33)))*(100-10)</f>
        <v/>
      </c>
      <c r="F21" t="n">
        <v>67</v>
      </c>
    </row>
    <row r="22" ht="15.75" customHeight="1" thickBot="1">
      <c r="A22" s="5" t="n">
        <v>21</v>
      </c>
      <c r="B22" s="6" t="inlineStr">
        <is>
          <t>Island</t>
        </is>
      </c>
      <c r="C22" s="7" t="inlineStr">
        <is>
          <t>L</t>
        </is>
      </c>
      <c r="D22" s="8" t="n">
        <v>73</v>
      </c>
      <c r="E22" s="13">
        <f>10+((D22-MIN(D$2:D$33))/(MAX(D$2:D$33)-MIN(D$2:D$33)))*(100-10)</f>
        <v/>
      </c>
    </row>
    <row r="23" ht="15.75" customHeight="1" thickBot="1">
      <c r="A23" s="5" t="n">
        <v>22</v>
      </c>
      <c r="B23" s="6" t="inlineStr">
        <is>
          <t>Median</t>
        </is>
      </c>
      <c r="C23" s="7" t="inlineStr">
        <is>
          <t>L</t>
        </is>
      </c>
      <c r="D23" s="8" t="n">
        <v>73</v>
      </c>
      <c r="E23" s="13">
        <f>10+((D23-MIN(D$2:D$33))/(MAX(D$2:D$33)-MIN(D$2:D$33)))*(100-10)</f>
        <v/>
      </c>
    </row>
    <row r="24" ht="15.75" customHeight="1" thickBot="1">
      <c r="A24" s="5" t="n">
        <v>23</v>
      </c>
      <c r="B24" s="6" t="inlineStr">
        <is>
          <t>Parking</t>
        </is>
      </c>
      <c r="C24" s="7" t="inlineStr">
        <is>
          <t>L</t>
        </is>
      </c>
      <c r="D24" s="8" t="n">
        <v>73</v>
      </c>
      <c r="E24" s="13">
        <f>10+((D24-MIN(D$2:D$33))/(MAX(D$2:D$33)-MIN(D$2:D$33)))*(100-10)</f>
        <v/>
      </c>
    </row>
    <row r="25" ht="15.75" customHeight="1" thickBot="1">
      <c r="A25" s="5" t="n">
        <v>24</v>
      </c>
      <c r="B25" s="6" t="inlineStr">
        <is>
          <t>Layby</t>
        </is>
      </c>
      <c r="C25" s="7" t="inlineStr">
        <is>
          <t>L</t>
        </is>
      </c>
      <c r="D25" s="8" t="n">
        <v>73</v>
      </c>
      <c r="E25" s="13">
        <f>10+((D25-MIN(D$2:D$33))/(MAX(D$2:D$33)-MIN(D$2:D$33)))*(100-10)</f>
        <v/>
      </c>
    </row>
    <row r="26" ht="15.75" customHeight="1" thickBot="1">
      <c r="A26" s="5" t="n">
        <v>25</v>
      </c>
      <c r="B26" s="6" t="inlineStr">
        <is>
          <t>Decorative Furniture</t>
        </is>
      </c>
      <c r="C26" s="7" t="inlineStr">
        <is>
          <t>L</t>
        </is>
      </c>
      <c r="D26" s="8" t="n">
        <v>68</v>
      </c>
      <c r="E26" s="13">
        <f>10+((D26-MIN(D$2:D$33))/(MAX(D$2:D$33)-MIN(D$2:D$33)))*(100-10)</f>
        <v/>
      </c>
    </row>
    <row r="27" ht="15.75" customHeight="1" thickBot="1">
      <c r="A27" s="5" t="n">
        <v>26</v>
      </c>
      <c r="B27" s="6" t="inlineStr">
        <is>
          <t>Cycle Rack</t>
        </is>
      </c>
      <c r="C27" s="7" t="inlineStr">
        <is>
          <t>L</t>
        </is>
      </c>
      <c r="D27" s="8" t="n">
        <v>68</v>
      </c>
      <c r="E27" s="13">
        <f>10+((D27-MIN(D$2:D$33))/(MAX(D$2:D$33)-MIN(D$2:D$33)))*(100-10)</f>
        <v/>
      </c>
    </row>
    <row r="28" ht="15.75" customHeight="1" thickBot="1">
      <c r="A28" s="5" t="n">
        <v>27</v>
      </c>
      <c r="B28" s="6" t="inlineStr">
        <is>
          <t>Parking Tent</t>
        </is>
      </c>
      <c r="C28" s="7" t="inlineStr">
        <is>
          <t>L</t>
        </is>
      </c>
      <c r="D28" s="8" t="n">
        <v>67</v>
      </c>
      <c r="E28" s="13">
        <f>10+((D28-MIN(D$2:D$33))/(MAX(D$2:D$33)-MIN(D$2:D$33)))*(100-10)</f>
        <v/>
      </c>
    </row>
    <row r="29" ht="15.75" customHeight="1" thickBot="1">
      <c r="A29" s="5" t="n">
        <v>28</v>
      </c>
      <c r="B29" s="6" t="inlineStr">
        <is>
          <t>Pergolas</t>
        </is>
      </c>
      <c r="C29" s="7" t="inlineStr">
        <is>
          <t>L</t>
        </is>
      </c>
      <c r="D29" s="8" t="n">
        <v>67</v>
      </c>
      <c r="E29" s="13">
        <f>10+((D29-MIN(D$2:D$33))/(MAX(D$2:D$33)-MIN(D$2:D$33)))*(100-10)</f>
        <v/>
      </c>
    </row>
    <row r="30" ht="15.75" customHeight="1" thickBot="1">
      <c r="A30" s="5" t="n">
        <v>29</v>
      </c>
      <c r="B30" s="6" t="inlineStr">
        <is>
          <t>Landscape</t>
        </is>
      </c>
      <c r="C30" s="7" t="inlineStr">
        <is>
          <t>L</t>
        </is>
      </c>
      <c r="D30" s="8" t="n">
        <v>67</v>
      </c>
      <c r="E30" s="13">
        <f>10+((D30-MIN(D$2:D$33))/(MAX(D$2:D$33)-MIN(D$2:D$33)))*(100-10)</f>
        <v/>
      </c>
    </row>
    <row r="31" ht="15.75" customHeight="1" thickBot="1">
      <c r="A31" s="5" t="n">
        <v>30</v>
      </c>
      <c r="B31" s="6" t="inlineStr">
        <is>
          <t>Public Sheds</t>
        </is>
      </c>
      <c r="C31" s="7" t="inlineStr">
        <is>
          <t>L</t>
        </is>
      </c>
      <c r="D31" s="8" t="n">
        <v>65</v>
      </c>
      <c r="E31" s="13">
        <f>10+((D31-MIN(D$2:D$33))/(MAX(D$2:D$33)-MIN(D$2:D$33)))*(100-10)</f>
        <v/>
      </c>
    </row>
    <row r="32" ht="15.75" customHeight="1" thickBot="1">
      <c r="A32" s="5" t="n">
        <v>31</v>
      </c>
      <c r="B32" s="6" t="inlineStr">
        <is>
          <t>Camel Grid</t>
        </is>
      </c>
      <c r="C32" s="7" t="inlineStr">
        <is>
          <t>L</t>
        </is>
      </c>
      <c r="D32" s="8" t="n">
        <v>64</v>
      </c>
      <c r="E32" s="13">
        <f>10+((D32-MIN(D$2:D$33))/(MAX(D$2:D$33)-MIN(D$2:D$33)))*(100-10)</f>
        <v/>
      </c>
    </row>
    <row r="33" ht="15.75" customHeight="1" thickBot="1">
      <c r="A33" s="5" t="n">
        <v>32</v>
      </c>
      <c r="B33" s="6" t="inlineStr">
        <is>
          <t>Benches</t>
        </is>
      </c>
      <c r="C33" s="7" t="inlineStr">
        <is>
          <t>L</t>
        </is>
      </c>
      <c r="D33" s="8" t="n">
        <v>60</v>
      </c>
      <c r="E33" s="13">
        <f>10+((D33-MIN(D$2:D$33))/(MAX(D$2:D$33)-MIN(D$2:D$33)))*(100-10)</f>
        <v/>
      </c>
    </row>
    <row r="34" ht="15.75" customHeight="1" thickBot="1">
      <c r="A34" s="12" t="n"/>
      <c r="B34" s="9" t="inlineStr">
        <is>
          <t>Total</t>
        </is>
      </c>
      <c r="C34" s="10" t="n"/>
      <c r="D34" s="11">
        <f>SUM(D2:D33)</f>
        <v/>
      </c>
      <c r="E34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A11" zoomScale="160" zoomScaleNormal="160" workbookViewId="0">
      <selection activeCell="L17" sqref="L17:L19"/>
    </sheetView>
  </sheetViews>
  <sheetFormatPr baseColWidth="8" defaultRowHeight="15"/>
  <cols>
    <col width="3.42578125" bestFit="1" customWidth="1" min="1" max="1"/>
    <col width="34" customWidth="1" min="2" max="2"/>
    <col width="8.5703125" customWidth="1" style="1" min="3" max="3"/>
    <col hidden="1" width="10.5703125" customWidth="1" style="1" min="4" max="4"/>
    <col hidden="1" width="10.7109375" customWidth="1" style="1" min="5" max="6"/>
    <col width="25" customWidth="1" style="28" min="7" max="7"/>
    <col width="16.5703125" customWidth="1" style="1" min="8" max="8"/>
    <col width="12.7109375" customWidth="1" style="28" min="9" max="9"/>
    <col hidden="1" width="14.5703125" customWidth="1" style="1" min="10" max="10"/>
    <col width="19.7109375" customWidth="1" style="1" min="11" max="11"/>
  </cols>
  <sheetData>
    <row r="1" ht="45" customFormat="1" customHeight="1" s="29">
      <c r="A1" s="31" t="inlineStr">
        <is>
          <t>SN</t>
        </is>
      </c>
      <c r="B1" s="31" t="inlineStr">
        <is>
          <t>Feature Name</t>
        </is>
      </c>
      <c r="C1" s="31" t="inlineStr">
        <is>
          <t>ACI</t>
        </is>
      </c>
      <c r="D1" s="31" t="inlineStr">
        <is>
          <t>ACI - Max</t>
        </is>
      </c>
      <c r="E1" s="31" t="inlineStr">
        <is>
          <t>ACI - Mid</t>
        </is>
      </c>
      <c r="F1" s="31" t="inlineStr">
        <is>
          <t>ACI - Min</t>
        </is>
      </c>
      <c r="G1" s="32" t="inlineStr">
        <is>
          <t>Equation for Consumed Life from Deterioration Models</t>
        </is>
      </c>
      <c r="H1" s="31" t="inlineStr">
        <is>
          <t>Consumed Life</t>
        </is>
      </c>
      <c r="I1" s="32" t="inlineStr">
        <is>
          <t>Total Life of the Asset</t>
        </is>
      </c>
      <c r="J1" s="31" t="inlineStr">
        <is>
          <t>FLF</t>
        </is>
      </c>
      <c r="K1" s="32" t="inlineStr">
        <is>
          <t>FLF</t>
        </is>
      </c>
    </row>
    <row r="2">
      <c r="A2" s="16" t="n">
        <v>1</v>
      </c>
      <c r="B2" s="21" t="inlineStr">
        <is>
          <t>Street Marking - Thremoplastic</t>
        </is>
      </c>
      <c r="C2" s="18" t="n">
        <v>80</v>
      </c>
      <c r="D2" s="18" t="n">
        <v>100</v>
      </c>
      <c r="E2" s="18" t="n">
        <v>65</v>
      </c>
      <c r="F2" s="18" t="n">
        <v>0</v>
      </c>
      <c r="G2" s="27" t="inlineStr">
        <is>
          <t>(ACI-96)/-25</t>
        </is>
      </c>
      <c r="H2" s="18">
        <f>(C2-99.167)/-14.583</f>
        <v/>
      </c>
      <c r="I2" s="30" t="n">
        <v>6.8</v>
      </c>
      <c r="J2" s="22">
        <f>(H2/I2)*100</f>
        <v/>
      </c>
      <c r="K2" s="33">
        <f>IF(C2=0,100,IF(C2&gt;=80,0,MAX(0,MIN(100,(H2/I2)*100))))</f>
        <v/>
      </c>
    </row>
    <row r="3">
      <c r="A3" s="16" t="n">
        <v>2</v>
      </c>
      <c r="B3" s="23" t="inlineStr">
        <is>
          <t>Street Marking - Cold Paint</t>
        </is>
      </c>
      <c r="C3" s="18" t="n">
        <v>99</v>
      </c>
      <c r="D3" s="18" t="n">
        <v>100</v>
      </c>
      <c r="E3" s="18" t="n">
        <v>65</v>
      </c>
      <c r="F3" s="18" t="n">
        <v>0</v>
      </c>
      <c r="G3" s="27" t="inlineStr">
        <is>
          <t>(ACI-99.167)/-14.583</t>
        </is>
      </c>
      <c r="H3" s="18">
        <f>(C3-99.167)/-14.583</f>
        <v/>
      </c>
      <c r="I3" s="30" t="n">
        <v>7</v>
      </c>
      <c r="J3" s="18">
        <f>(H3/I3)*100</f>
        <v/>
      </c>
      <c r="K3" s="33">
        <f>IF(C3=0,100,IF(C3&gt;=80,0,MAX(0,MIN(100,(H3/I3)*100))))</f>
        <v/>
      </c>
    </row>
    <row r="4">
      <c r="A4" s="16" t="n">
        <v>3</v>
      </c>
      <c r="B4" s="23" t="inlineStr">
        <is>
          <t>Road Sign</t>
        </is>
      </c>
      <c r="C4" s="18" t="n">
        <v>80</v>
      </c>
      <c r="D4" s="18" t="n">
        <v>100</v>
      </c>
      <c r="E4" s="18" t="n">
        <v>65</v>
      </c>
      <c r="F4" s="18" t="n">
        <v>0</v>
      </c>
      <c r="G4" s="27" t="inlineStr">
        <is>
          <t>(ACI-107.15)/-8.4176</t>
        </is>
      </c>
      <c r="H4" s="18">
        <f>(C4-107.15)/-8.4176</f>
        <v/>
      </c>
      <c r="I4" s="30" t="n">
        <v>13</v>
      </c>
      <c r="J4" s="18">
        <f>(H4/I4)*100</f>
        <v/>
      </c>
      <c r="K4" s="33">
        <f>IF(C4=0,100,IF(C4&gt;=80,0,MAX(0,MIN(100,(H4/I4)*100))))</f>
        <v/>
      </c>
    </row>
    <row r="5">
      <c r="A5" s="16" t="n">
        <v>4</v>
      </c>
      <c r="B5" s="17" t="inlineStr">
        <is>
          <t>Crash Cushion</t>
        </is>
      </c>
      <c r="C5" s="18" t="n">
        <v>100</v>
      </c>
      <c r="D5" s="18" t="n">
        <v>100</v>
      </c>
      <c r="E5" s="18" t="n">
        <v>65</v>
      </c>
      <c r="F5" s="18" t="n">
        <v>0</v>
      </c>
      <c r="G5" s="27" t="inlineStr">
        <is>
          <t>(ACI-101.69)/-6.2463</t>
        </is>
      </c>
      <c r="H5" s="18">
        <f>(C5-101.69)/-6.2463</f>
        <v/>
      </c>
      <c r="I5" s="30" t="n">
        <v>16</v>
      </c>
      <c r="J5" s="18">
        <f>(H5/I5)*100</f>
        <v/>
      </c>
      <c r="K5" s="33">
        <f>IF(C5=0,100,IF(C5&gt;=80,0,MAX(0,MIN(100,(H5/I5)*100))))</f>
        <v/>
      </c>
    </row>
    <row r="6">
      <c r="A6" s="16" t="n">
        <v>5</v>
      </c>
      <c r="B6" s="23" t="inlineStr">
        <is>
          <t>Guard Rail</t>
        </is>
      </c>
      <c r="C6" s="18" t="n">
        <v>1</v>
      </c>
      <c r="D6" s="18" t="n">
        <v>100</v>
      </c>
      <c r="E6" s="18" t="n">
        <v>65</v>
      </c>
      <c r="F6" s="18" t="n">
        <v>0</v>
      </c>
      <c r="G6" s="27" t="inlineStr">
        <is>
          <t>(ACI-103.3)/-2.7284</t>
        </is>
      </c>
      <c r="H6" s="18">
        <f>(C6-103.3)/-2.7284</f>
        <v/>
      </c>
      <c r="I6" s="30" t="n">
        <v>38</v>
      </c>
      <c r="J6" s="18">
        <f>(H6/I6)*100</f>
        <v/>
      </c>
      <c r="K6" s="33">
        <f>IF(C6=0,100,IF(C6&gt;=80,0,MAX(0,MIN(100,(H6/I6)*100))))</f>
        <v/>
      </c>
    </row>
    <row r="7">
      <c r="A7" s="16" t="n">
        <v>6</v>
      </c>
      <c r="B7" s="23" t="inlineStr">
        <is>
          <t>Barrier</t>
        </is>
      </c>
      <c r="C7" s="18" t="n">
        <v>1</v>
      </c>
      <c r="D7" s="18" t="n">
        <v>100</v>
      </c>
      <c r="E7" s="18" t="n">
        <v>65</v>
      </c>
      <c r="F7" s="18" t="n">
        <v>0</v>
      </c>
      <c r="G7" s="27" t="inlineStr">
        <is>
          <t>(ACI-99.216)/-6.027</t>
        </is>
      </c>
      <c r="H7" s="18">
        <f>(C7-99.216)/-6.027</f>
        <v/>
      </c>
      <c r="I7" s="30" t="n">
        <v>16</v>
      </c>
      <c r="J7" s="18">
        <f>(H7/I7)*100</f>
        <v/>
      </c>
      <c r="K7" s="33">
        <f>IF(C7=0,100,IF(C7&gt;=80,0,MAX(0,MIN(100,(H7/I7)*100))))</f>
        <v/>
      </c>
    </row>
    <row r="8">
      <c r="A8" s="16" t="n">
        <v>7</v>
      </c>
      <c r="B8" s="23" t="inlineStr">
        <is>
          <t>Fence</t>
        </is>
      </c>
      <c r="C8" s="18" t="n">
        <v>1</v>
      </c>
      <c r="D8" s="18" t="n">
        <v>100</v>
      </c>
      <c r="E8" s="18" t="n">
        <v>65</v>
      </c>
      <c r="F8" s="18" t="n">
        <v>0</v>
      </c>
      <c r="G8" s="27" t="inlineStr">
        <is>
          <t>(ACI-103.48)/-4.2834</t>
        </is>
      </c>
      <c r="H8" s="18">
        <f>(C8-103.48)/-4.2834</f>
        <v/>
      </c>
      <c r="I8" s="30" t="n">
        <v>24</v>
      </c>
      <c r="J8" s="18">
        <f>(H8/I8)*100</f>
        <v/>
      </c>
      <c r="K8" s="33">
        <f>IF(C8=0,100,IF(C8&gt;=80,0,MAX(0,MIN(100,(H8/I8)*100))))</f>
        <v/>
      </c>
    </row>
    <row r="9">
      <c r="A9" s="16" t="n">
        <v>8</v>
      </c>
      <c r="B9" s="17" t="inlineStr">
        <is>
          <t>Road Studs</t>
        </is>
      </c>
      <c r="C9" s="18" t="n">
        <v>1</v>
      </c>
      <c r="D9" s="18" t="n">
        <v>100</v>
      </c>
      <c r="E9" s="18" t="n">
        <v>65</v>
      </c>
      <c r="F9" s="18" t="n">
        <v>0</v>
      </c>
      <c r="G9" s="27" t="inlineStr">
        <is>
          <t>(ACI-103.33)/-6.8571</t>
        </is>
      </c>
      <c r="H9" s="18">
        <f>(C9-103.33)/-6.8571</f>
        <v/>
      </c>
      <c r="I9" s="30" t="n">
        <v>15</v>
      </c>
      <c r="J9" s="18">
        <f>(H9/I9)*100</f>
        <v/>
      </c>
      <c r="K9" s="33">
        <f>IF(C9=0,100,IF(C9&gt;=80,0,MAX(0,MIN(100,(H9/I9)*100))))</f>
        <v/>
      </c>
    </row>
    <row r="10">
      <c r="A10" s="16" t="n">
        <v>9</v>
      </c>
      <c r="B10" s="15" t="inlineStr">
        <is>
          <t>Crosswalks</t>
        </is>
      </c>
      <c r="C10" s="18" t="n">
        <v>1</v>
      </c>
      <c r="D10" s="18" t="n">
        <v>100</v>
      </c>
      <c r="E10" s="18" t="n">
        <v>65</v>
      </c>
      <c r="F10" s="18" t="n">
        <v>0</v>
      </c>
      <c r="G10" s="27" t="inlineStr">
        <is>
          <t>(ACI-99.639)/-12.097</t>
        </is>
      </c>
      <c r="H10" s="18">
        <f>(C10-99.639)/-12.097</f>
        <v/>
      </c>
      <c r="I10" s="30" t="n">
        <v>8.199999999999999</v>
      </c>
      <c r="J10" s="18">
        <f>(H10/I10)*100</f>
        <v/>
      </c>
      <c r="K10" s="33">
        <f>IF(C10=0,100,IF(C10&gt;=80,0,MAX(0,MIN(100,(H10/I10)*100))))</f>
        <v/>
      </c>
    </row>
    <row r="11">
      <c r="A11" s="16" t="n">
        <v>10</v>
      </c>
      <c r="B11" s="17" t="inlineStr">
        <is>
          <t>Footpath</t>
        </is>
      </c>
      <c r="C11" s="18" t="n">
        <v>1</v>
      </c>
      <c r="D11" s="18" t="n">
        <v>100</v>
      </c>
      <c r="E11" s="18" t="n">
        <v>65</v>
      </c>
      <c r="F11" s="18" t="n">
        <v>0</v>
      </c>
      <c r="G11" s="27" t="inlineStr">
        <is>
          <t>(ACI-104.29)/-2.7375</t>
        </is>
      </c>
      <c r="H11" s="18">
        <f>(C11-104.29)/-2.7375</f>
        <v/>
      </c>
      <c r="I11" s="30" t="n">
        <v>38</v>
      </c>
      <c r="J11" s="18">
        <f>(H11/I11)*100</f>
        <v/>
      </c>
      <c r="K11" s="33">
        <f>IF(C11=0,100,IF(C11&gt;=80,0,MAX(0,MIN(100,(H11/I11)*100))))</f>
        <v/>
      </c>
    </row>
    <row r="12">
      <c r="A12" s="16" t="n">
        <v>11</v>
      </c>
      <c r="B12" s="17" t="inlineStr">
        <is>
          <t>Curb Stone</t>
        </is>
      </c>
      <c r="C12" s="18" t="n">
        <v>1</v>
      </c>
      <c r="D12" s="18" t="n">
        <v>100</v>
      </c>
      <c r="E12" s="18" t="n">
        <v>65</v>
      </c>
      <c r="F12" s="18" t="n">
        <v>0</v>
      </c>
      <c r="G12" s="27" t="inlineStr">
        <is>
          <t>(ACI-102.73)/-2.2296</t>
        </is>
      </c>
      <c r="H12" s="18">
        <f>(C12-102.73)/-2.2296</f>
        <v/>
      </c>
      <c r="I12" s="30" t="n">
        <v>46</v>
      </c>
      <c r="J12" s="18">
        <f>(H12/I12)*100</f>
        <v/>
      </c>
      <c r="K12" s="33">
        <f>IF(C12=0,100,IF(C12&gt;=80,0,MAX(0,MIN(100,(H12/I12)*100))))</f>
        <v/>
      </c>
    </row>
    <row r="13">
      <c r="A13" s="16" t="n">
        <v>12</v>
      </c>
      <c r="B13" s="17" t="inlineStr">
        <is>
          <t>Manhole</t>
        </is>
      </c>
      <c r="C13" s="18" t="n">
        <v>1</v>
      </c>
      <c r="D13" s="18" t="n">
        <v>100</v>
      </c>
      <c r="E13" s="18" t="n">
        <v>65</v>
      </c>
      <c r="F13" s="18" t="n">
        <v>0</v>
      </c>
      <c r="G13" s="27" t="inlineStr">
        <is>
          <t>(ACI-102.22)/-3.2661</t>
        </is>
      </c>
      <c r="H13" s="18">
        <f>(C13-102.22)/-3.2661</f>
        <v/>
      </c>
      <c r="I13" s="30" t="n">
        <v>31</v>
      </c>
      <c r="J13" s="18">
        <f>(H13/I13)*100</f>
        <v/>
      </c>
      <c r="K13" s="33">
        <f>IF(C13=0,100,IF(C13&gt;=80,0,MAX(0,MIN(100,(H13/I13)*100))))</f>
        <v/>
      </c>
    </row>
    <row r="14">
      <c r="A14" s="16" t="n">
        <v>13</v>
      </c>
      <c r="B14" s="15" t="inlineStr">
        <is>
          <t>Bollards</t>
        </is>
      </c>
      <c r="C14" s="18" t="n">
        <v>1</v>
      </c>
      <c r="D14" s="18" t="n">
        <v>100</v>
      </c>
      <c r="E14" s="18" t="n">
        <v>65</v>
      </c>
      <c r="F14" s="18" t="n">
        <v>0</v>
      </c>
      <c r="G14" s="27" t="inlineStr">
        <is>
          <t>(ACI-99.164)/-11.77</t>
        </is>
      </c>
      <c r="H14" s="18">
        <f>(C14-99.164)/-11.77</f>
        <v/>
      </c>
      <c r="I14" s="30" t="n">
        <v>8.300000000000001</v>
      </c>
      <c r="J14" s="18">
        <f>(H14/I14)*100</f>
        <v/>
      </c>
      <c r="K14" s="33">
        <f>IF(C14=0,100,IF(C14&gt;=80,0,MAX(0,MIN(100,(H14/I14)*100))))</f>
        <v/>
      </c>
    </row>
    <row r="15">
      <c r="A15" s="16" t="n">
        <v>14</v>
      </c>
      <c r="B15" s="23" t="inlineStr">
        <is>
          <t>Spillway</t>
        </is>
      </c>
      <c r="C15" s="18" t="n">
        <v>1</v>
      </c>
      <c r="D15" s="18" t="n">
        <v>100</v>
      </c>
      <c r="E15" s="18" t="n">
        <v>65</v>
      </c>
      <c r="F15" s="18" t="n">
        <v>0</v>
      </c>
      <c r="G15" s="27" t="inlineStr">
        <is>
          <t>(ACI-103.3)/-2.7284</t>
        </is>
      </c>
      <c r="H15" s="18">
        <f>(C15-103.3)/-2.7284</f>
        <v/>
      </c>
      <c r="I15" s="30" t="n">
        <v>38</v>
      </c>
      <c r="J15" s="18">
        <f>(H15/I15)*100</f>
        <v/>
      </c>
      <c r="K15" s="33">
        <f>IF(C15=0,100,IF(C15&gt;=80,0,MAX(0,MIN(100,(H15/I15)*100))))</f>
        <v/>
      </c>
    </row>
    <row r="16">
      <c r="A16" s="16" t="n">
        <v>15</v>
      </c>
      <c r="B16" s="23" t="inlineStr">
        <is>
          <t>Gully</t>
        </is>
      </c>
      <c r="C16" s="18" t="n">
        <v>1</v>
      </c>
      <c r="D16" s="18" t="n">
        <v>100</v>
      </c>
      <c r="E16" s="18" t="n">
        <v>65</v>
      </c>
      <c r="F16" s="18" t="n">
        <v>0</v>
      </c>
      <c r="G16" s="27" t="inlineStr">
        <is>
          <t>(ACI-102.52)/-2.644</t>
        </is>
      </c>
      <c r="H16" s="18">
        <f>(C16-102.52)/-2.644</f>
        <v/>
      </c>
      <c r="I16" s="30" t="n">
        <v>38.7</v>
      </c>
      <c r="J16" s="18">
        <f>(H16/I16)*100</f>
        <v/>
      </c>
      <c r="K16" s="33">
        <f>IF(C16=0,100,IF(C16&gt;=80,0,MAX(0,MIN(100,(H16/I16)*100))))</f>
        <v/>
      </c>
    </row>
    <row r="17">
      <c r="A17" s="16" t="n">
        <v>16</v>
      </c>
      <c r="B17" s="34" t="inlineStr">
        <is>
          <t>Gantry - Gantry Foundation</t>
        </is>
      </c>
      <c r="C17" s="18" t="n">
        <v>1</v>
      </c>
      <c r="D17" s="18" t="n">
        <v>100</v>
      </c>
      <c r="E17" s="18" t="n">
        <v>65</v>
      </c>
      <c r="F17" s="18" t="n">
        <v>0</v>
      </c>
      <c r="G17" s="27" t="inlineStr">
        <is>
          <t>(ACI-99.435)/-3.0273</t>
        </is>
      </c>
      <c r="H17" s="18">
        <f>(C17-99.435)/-3.0273</f>
        <v/>
      </c>
      <c r="I17" s="30" t="n">
        <v>32.8</v>
      </c>
      <c r="J17" s="18">
        <f>(H17/I17)*100</f>
        <v/>
      </c>
      <c r="K17" s="33">
        <f>IF(C17=0,100,IF(C17&gt;=80,0,MAX(0,MIN(100,(H17/I17)*100))))</f>
        <v/>
      </c>
      <c r="L17" s="38">
        <f>0.4*K17+M18*K18+M19*K19</f>
        <v/>
      </c>
      <c r="M17" t="n">
        <v>0.4</v>
      </c>
    </row>
    <row r="18">
      <c r="A18" s="16" t="n">
        <v>17</v>
      </c>
      <c r="B18" s="35" t="inlineStr">
        <is>
          <t>Gantry Structure</t>
        </is>
      </c>
      <c r="C18" s="18" t="n">
        <v>1</v>
      </c>
      <c r="D18" s="18" t="n">
        <v>100</v>
      </c>
      <c r="E18" s="18" t="n">
        <v>65</v>
      </c>
      <c r="F18" s="18" t="n">
        <v>0</v>
      </c>
      <c r="G18" s="27" t="inlineStr">
        <is>
          <t>(ACI-97.564)/-3.5836</t>
        </is>
      </c>
      <c r="H18" s="18">
        <f>(C18-97.564)/-3.5836</f>
        <v/>
      </c>
      <c r="I18" s="30" t="n">
        <v>27</v>
      </c>
      <c r="J18" s="18">
        <f>(H18/I18)*100</f>
        <v/>
      </c>
      <c r="K18" s="33">
        <f>IF(C18=0,100,IF(C18&gt;=80,0,MAX(0,MIN(100,(H18/I18)*100))))</f>
        <v/>
      </c>
      <c r="L18" s="39" t="n"/>
      <c r="M18" t="n">
        <v>0.3</v>
      </c>
      <c r="O18" t="inlineStr">
        <is>
          <t>PF = 0.6*CF + 0.2*RF + 0.2*FLF</t>
        </is>
      </c>
    </row>
    <row r="19">
      <c r="A19" s="16" t="n">
        <v>18</v>
      </c>
      <c r="B19" s="35" t="inlineStr">
        <is>
          <t>Gantry Sign</t>
        </is>
      </c>
      <c r="C19" s="18" t="n">
        <v>1</v>
      </c>
      <c r="D19" s="18" t="n">
        <v>100</v>
      </c>
      <c r="E19" s="18" t="n">
        <v>65</v>
      </c>
      <c r="F19" s="18" t="n">
        <v>0</v>
      </c>
      <c r="G19" s="27" t="inlineStr">
        <is>
          <t>(ACI-106.08)/-7.5357</t>
        </is>
      </c>
      <c r="H19" s="18">
        <f>(C19-106.08)/-7.5357</f>
        <v/>
      </c>
      <c r="I19" s="30" t="n">
        <v>14</v>
      </c>
      <c r="J19" s="18">
        <f>(H19/I19)*100</f>
        <v/>
      </c>
      <c r="K19" s="33">
        <f>IF(C19=0,100,IF(C19&gt;=80,0,MAX(0,MIN(100,(H19/I19)*100))))</f>
        <v/>
      </c>
      <c r="L19" s="39" t="n"/>
      <c r="M19" t="n">
        <v>0.3</v>
      </c>
    </row>
    <row r="20">
      <c r="A20" s="16" t="n">
        <v>19</v>
      </c>
      <c r="B20" s="23" t="inlineStr">
        <is>
          <t>Hump</t>
        </is>
      </c>
      <c r="C20" s="18" t="n">
        <v>2</v>
      </c>
      <c r="D20" s="18" t="n">
        <v>100</v>
      </c>
      <c r="E20" s="18" t="n">
        <v>65</v>
      </c>
      <c r="F20" s="18" t="n">
        <v>0</v>
      </c>
      <c r="G20" s="27" t="inlineStr">
        <is>
          <t>(ACI-106.06)/-3.2815</t>
        </is>
      </c>
      <c r="H20" s="18">
        <f>(C20-106.06)/-3.2815</f>
        <v/>
      </c>
      <c r="I20" s="30" t="n">
        <v>32</v>
      </c>
      <c r="J20" s="18">
        <f>(H20/I20)*100</f>
        <v/>
      </c>
      <c r="K20" s="33">
        <f>IF(C20=0,100,IF(C20&gt;=80,0,MAX(0,MIN(100,(H20/I20)*100))))</f>
        <v/>
      </c>
    </row>
    <row r="21">
      <c r="A21" s="16" t="n">
        <v>20</v>
      </c>
      <c r="B21" s="24" t="inlineStr">
        <is>
          <t>Landscape</t>
        </is>
      </c>
      <c r="C21" s="18" t="n">
        <v>1</v>
      </c>
      <c r="D21" s="18" t="n">
        <v>100</v>
      </c>
      <c r="E21" s="18" t="n">
        <v>65</v>
      </c>
      <c r="F21" s="18" t="n">
        <v>0</v>
      </c>
      <c r="G21" s="27" t="n"/>
      <c r="H21" s="18" t="n"/>
      <c r="I21" s="30" t="n"/>
      <c r="J21" s="24" t="inlineStr">
        <is>
          <t>Not Applicable</t>
        </is>
      </c>
      <c r="K21" s="33" t="n"/>
    </row>
    <row r="22">
      <c r="A22" s="16" t="n">
        <v>21</v>
      </c>
      <c r="B22" s="24" t="inlineStr">
        <is>
          <t>Decorative Furniture</t>
        </is>
      </c>
      <c r="C22" s="18" t="n">
        <v>1</v>
      </c>
      <c r="D22" s="18" t="n">
        <v>100</v>
      </c>
      <c r="E22" s="18" t="n">
        <v>65</v>
      </c>
      <c r="F22" s="18" t="n">
        <v>0</v>
      </c>
      <c r="G22" s="27" t="n"/>
      <c r="H22" s="18" t="n"/>
      <c r="I22" s="30" t="n"/>
      <c r="J22" s="24" t="inlineStr">
        <is>
          <t>Not Applicable</t>
        </is>
      </c>
      <c r="K22" s="33" t="n"/>
    </row>
    <row r="23">
      <c r="A23" s="16" t="n">
        <v>22</v>
      </c>
      <c r="B23" s="23" t="inlineStr">
        <is>
          <t>Benches</t>
        </is>
      </c>
      <c r="C23" s="18" t="n">
        <v>1</v>
      </c>
      <c r="D23" s="18" t="n">
        <v>100</v>
      </c>
      <c r="E23" s="18" t="n">
        <v>65</v>
      </c>
      <c r="F23" s="18" t="n">
        <v>0</v>
      </c>
      <c r="G23" s="27" t="inlineStr">
        <is>
          <t>(ACI-101.18)/-6.2868</t>
        </is>
      </c>
      <c r="H23" s="18">
        <f>(C23-101.18)/-6.2868</f>
        <v/>
      </c>
      <c r="I23" s="30" t="n">
        <v>16</v>
      </c>
      <c r="J23" s="18">
        <f>(H23/I23)*100</f>
        <v/>
      </c>
      <c r="K23" s="33">
        <f>IF(C23=0,100,IF(C23&gt;=80,0,MAX(0,MIN(100,(H23/I23)*100))))</f>
        <v/>
      </c>
    </row>
    <row r="24">
      <c r="A24" s="16" t="n">
        <v>23</v>
      </c>
      <c r="B24" s="23" t="inlineStr">
        <is>
          <t>Cycle Racks</t>
        </is>
      </c>
      <c r="C24" s="18" t="n">
        <v>1</v>
      </c>
      <c r="D24" s="18" t="n">
        <v>100</v>
      </c>
      <c r="E24" s="18" t="n">
        <v>65</v>
      </c>
      <c r="F24" s="18" t="n">
        <v>0</v>
      </c>
      <c r="G24" s="27" t="inlineStr">
        <is>
          <t>(ACI-102.21)/-6.5441</t>
        </is>
      </c>
      <c r="H24" s="18">
        <f>(C24-102.21)/-6.5441</f>
        <v/>
      </c>
      <c r="I24" s="30" t="n">
        <v>15</v>
      </c>
      <c r="J24" s="18">
        <f>(H24/I24)*100</f>
        <v/>
      </c>
      <c r="K24" s="33">
        <f>IF(C24=0,100,IF(C24&gt;=80,0,MAX(0,MIN(100,(H24/I24)*100))))</f>
        <v/>
      </c>
    </row>
    <row r="25">
      <c r="A25" s="16" t="n">
        <v>24</v>
      </c>
      <c r="B25" s="34" t="inlineStr">
        <is>
          <t>Public Sheds and Parking Tents - Foundation</t>
        </is>
      </c>
      <c r="C25" s="18" t="n">
        <v>70</v>
      </c>
      <c r="D25" s="18" t="n">
        <v>100</v>
      </c>
      <c r="E25" s="18" t="n">
        <v>65</v>
      </c>
      <c r="F25" s="18" t="n">
        <v>0</v>
      </c>
      <c r="G25" s="27" t="inlineStr">
        <is>
          <t>(ACI-103.31)/-3.4138</t>
        </is>
      </c>
      <c r="H25" s="18">
        <f>(C25-103.31)/-3.4138</f>
        <v/>
      </c>
      <c r="I25" s="30" t="n">
        <v>30</v>
      </c>
      <c r="J25" s="18">
        <f>(H25/I25)*100</f>
        <v/>
      </c>
      <c r="K25" s="33">
        <f>IF(C25=0,100,IF(C25&gt;=80,0,MAX(0,MIN(100,(H25/I25)*100))))</f>
        <v/>
      </c>
      <c r="L25" s="38">
        <f>0.4*K25+M26*K26+M27*K27</f>
        <v/>
      </c>
      <c r="M25" t="n">
        <v>0.4</v>
      </c>
    </row>
    <row r="26">
      <c r="A26" s="16" t="n">
        <v>25</v>
      </c>
      <c r="B26" s="34" t="inlineStr">
        <is>
          <t>Public Sheds and Parking Tents - Column</t>
        </is>
      </c>
      <c r="C26" s="18" t="n">
        <v>50</v>
      </c>
      <c r="D26" s="18" t="n">
        <v>100</v>
      </c>
      <c r="E26" s="18" t="n">
        <v>65</v>
      </c>
      <c r="F26" s="18" t="n">
        <v>0</v>
      </c>
      <c r="G26" s="27" t="inlineStr">
        <is>
          <t>(ACI-102.89)/-4.4763</t>
        </is>
      </c>
      <c r="H26" s="18">
        <f>(C26-102.89)/-4.4763</f>
        <v/>
      </c>
      <c r="I26" s="30" t="n">
        <v>23</v>
      </c>
      <c r="J26" s="18">
        <f>(H26/I26)*100</f>
        <v/>
      </c>
      <c r="K26" s="33">
        <f>IF(C26=0,100,IF(C26&gt;=80,0,MAX(0,MIN(100,(H26/I26)*100))))</f>
        <v/>
      </c>
      <c r="L26" s="39" t="n"/>
      <c r="M26" t="n">
        <v>0.3</v>
      </c>
    </row>
    <row r="27">
      <c r="A27" s="16" t="n">
        <v>26</v>
      </c>
      <c r="B27" s="35" t="inlineStr">
        <is>
          <t>Public Sheds and Parking Tents - Roof</t>
        </is>
      </c>
      <c r="C27" s="18" t="n">
        <v>20</v>
      </c>
      <c r="D27" s="18" t="n">
        <v>100</v>
      </c>
      <c r="E27" s="18" t="n">
        <v>65</v>
      </c>
      <c r="F27" s="18" t="n">
        <v>0</v>
      </c>
      <c r="G27" s="27" t="inlineStr">
        <is>
          <t>(ACI-101.08)/-12.595</t>
        </is>
      </c>
      <c r="H27" s="18">
        <f>(C27-101.08)/-12.595</f>
        <v/>
      </c>
      <c r="I27" s="30" t="n">
        <v>8</v>
      </c>
      <c r="J27" s="18">
        <f>(H27/I27)*100</f>
        <v/>
      </c>
      <c r="K27" s="33">
        <f>IF(C27=0,100,IF(C27&gt;=80,0,MAX(0,MIN(100,(H27/I27)*100))))</f>
        <v/>
      </c>
      <c r="L27" s="39" t="n"/>
      <c r="M27" t="n">
        <v>0.3</v>
      </c>
    </row>
    <row r="28">
      <c r="A28" s="16" t="n">
        <v>27</v>
      </c>
      <c r="B28" s="36" t="inlineStr">
        <is>
          <t>Pergola - Foundation</t>
        </is>
      </c>
      <c r="C28" s="18" t="n">
        <v>1</v>
      </c>
      <c r="D28" s="18" t="n">
        <v>100</v>
      </c>
      <c r="E28" s="18" t="n">
        <v>65</v>
      </c>
      <c r="F28" s="18" t="n">
        <v>0</v>
      </c>
      <c r="G28" s="27" t="inlineStr">
        <is>
          <t>(ACI-103.9)/-4.6753</t>
        </is>
      </c>
      <c r="H28" s="18">
        <f>(C28-103.9)/-4.6753</f>
        <v/>
      </c>
      <c r="I28" s="30" t="n">
        <v>22</v>
      </c>
      <c r="J28" s="18">
        <f>(H28/I28)*100</f>
        <v/>
      </c>
      <c r="K28" s="33">
        <f>IF(C28=0,100,IF(C28&gt;=80,0,MAX(0,MIN(100,(H28/I28)*100))))</f>
        <v/>
      </c>
      <c r="L28" s="38">
        <f>0.4*K28+M29*K29+M30*K30</f>
        <v/>
      </c>
      <c r="M28" t="n">
        <v>0.4</v>
      </c>
    </row>
    <row r="29">
      <c r="A29" s="16" t="n">
        <v>28</v>
      </c>
      <c r="B29" s="36" t="inlineStr">
        <is>
          <t>Pergola - Column</t>
        </is>
      </c>
      <c r="C29" s="18" t="n">
        <v>1</v>
      </c>
      <c r="D29" s="18" t="n">
        <v>100</v>
      </c>
      <c r="E29" s="18" t="n">
        <v>65</v>
      </c>
      <c r="F29" s="18" t="n">
        <v>0</v>
      </c>
      <c r="G29" s="27" t="inlineStr">
        <is>
          <t>(ACI-104.29)/-4.7669</t>
        </is>
      </c>
      <c r="H29" s="18">
        <f>(C29-104.29)/-4.7669</f>
        <v/>
      </c>
      <c r="I29" s="30" t="n">
        <v>22</v>
      </c>
      <c r="J29" s="18">
        <f>(H29/I29)*100</f>
        <v/>
      </c>
      <c r="K29" s="33">
        <f>IF(C29=0,100,IF(C29&gt;=80,0,MAX(0,MIN(100,(H29/I29)*100))))</f>
        <v/>
      </c>
      <c r="L29" s="39" t="n"/>
      <c r="M29" t="n">
        <v>0.3</v>
      </c>
    </row>
    <row r="30">
      <c r="A30" s="16" t="n">
        <v>29</v>
      </c>
      <c r="B30" s="37" t="inlineStr">
        <is>
          <t>Pergolas - Roof</t>
        </is>
      </c>
      <c r="C30" s="18" t="n">
        <v>1</v>
      </c>
      <c r="D30" s="18" t="n">
        <v>100</v>
      </c>
      <c r="E30" s="18" t="n">
        <v>65</v>
      </c>
      <c r="F30" s="18" t="n">
        <v>0</v>
      </c>
      <c r="G30" s="27" t="inlineStr">
        <is>
          <t>(ACI-103.33)/-6.857</t>
        </is>
      </c>
      <c r="H30" s="18">
        <f>(C30-103.33)/-6.857</f>
        <v/>
      </c>
      <c r="I30" s="30" t="n">
        <v>15</v>
      </c>
      <c r="J30" s="18">
        <f>(H30/I30)*100</f>
        <v/>
      </c>
      <c r="K30" s="33">
        <f>IF(C30=0,100,IF(C30&gt;=80,0,MAX(0,MIN(100,(H30/I30)*100))))</f>
        <v/>
      </c>
      <c r="L30" s="39" t="n"/>
      <c r="M30" t="n">
        <v>0.3</v>
      </c>
    </row>
    <row r="31">
      <c r="A31" s="16" t="n">
        <v>30</v>
      </c>
      <c r="B31" s="23" t="inlineStr">
        <is>
          <t>Island</t>
        </is>
      </c>
      <c r="C31" s="18" t="n">
        <v>1</v>
      </c>
      <c r="D31" s="18" t="n">
        <v>100</v>
      </c>
      <c r="E31" s="18" t="n">
        <v>65</v>
      </c>
      <c r="F31" s="18" t="n">
        <v>0</v>
      </c>
      <c r="G31" s="27" t="inlineStr">
        <is>
          <t>(ACI-104.29)/-2.7375</t>
        </is>
      </c>
      <c r="H31" s="18">
        <f>(C31-104.29)/-2.7375</f>
        <v/>
      </c>
      <c r="I31" s="30" t="n">
        <v>38</v>
      </c>
      <c r="J31" s="18">
        <f>(H31/I31)*100</f>
        <v/>
      </c>
      <c r="K31" s="33">
        <f>IF(C31=0,100,IF(C31&gt;=80,0,MAX(0,MIN(100,(H31/I31)*100))))</f>
        <v/>
      </c>
    </row>
    <row r="32">
      <c r="A32" s="16" t="n">
        <v>31</v>
      </c>
      <c r="B32" s="23" t="inlineStr">
        <is>
          <t>Camel Grid</t>
        </is>
      </c>
      <c r="C32" s="18" t="n">
        <v>1</v>
      </c>
      <c r="D32" s="18" t="n">
        <v>100</v>
      </c>
      <c r="E32" s="18" t="n">
        <v>65</v>
      </c>
      <c r="F32" s="18" t="n">
        <v>0</v>
      </c>
      <c r="G32" s="27" t="inlineStr">
        <is>
          <t>(ACI-102.89)/-4.4763</t>
        </is>
      </c>
      <c r="H32" s="18">
        <f>(C32-102.89)/-4.4763</f>
        <v/>
      </c>
      <c r="I32" s="30" t="n">
        <v>23</v>
      </c>
      <c r="J32" s="18">
        <f>(H32/I32)*100</f>
        <v/>
      </c>
      <c r="K32" s="33">
        <f>IF(C32=0,100,IF(C32&gt;=80,0,MAX(0,MIN(100,(H32/I32)*100))))</f>
        <v/>
      </c>
    </row>
    <row r="33">
      <c r="A33" s="25" t="n"/>
      <c r="B33" s="26" t="n"/>
    </row>
    <row r="34">
      <c r="B34" s="26" t="n"/>
    </row>
  </sheetData>
  <mergeCells count="3">
    <mergeCell ref="L25:L27"/>
    <mergeCell ref="L17:L19"/>
    <mergeCell ref="L28:L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H14" sqref="H14"/>
    </sheetView>
  </sheetViews>
  <sheetFormatPr baseColWidth="8" defaultRowHeight="15"/>
  <cols>
    <col width="3.42578125" bestFit="1" customWidth="1" min="1" max="1"/>
    <col width="19.5703125" bestFit="1" customWidth="1" min="2" max="2"/>
    <col width="8.5703125" customWidth="1" style="1" min="3" max="3"/>
    <col width="11.42578125" customWidth="1" style="1" min="4" max="4"/>
    <col width="16.5703125" customWidth="1" min="5" max="5"/>
    <col width="9.140625" customWidth="1" style="1" min="6" max="6"/>
  </cols>
  <sheetData>
    <row r="1">
      <c r="A1" s="15" t="inlineStr">
        <is>
          <t>SN</t>
        </is>
      </c>
      <c r="B1" s="15" t="inlineStr">
        <is>
          <t>Feature Name</t>
        </is>
      </c>
      <c r="C1" s="18" t="inlineStr">
        <is>
          <t>ACI</t>
        </is>
      </c>
      <c r="D1" s="18" t="inlineStr">
        <is>
          <t>Total Life</t>
        </is>
      </c>
      <c r="E1" s="15" t="inlineStr">
        <is>
          <t>Consumed life</t>
        </is>
      </c>
      <c r="F1" s="20" t="inlineStr">
        <is>
          <t>FLF</t>
        </is>
      </c>
    </row>
    <row r="2">
      <c r="A2" s="16" t="n">
        <v>1</v>
      </c>
      <c r="B2" s="17" t="inlineStr">
        <is>
          <t>Traffic Signal</t>
        </is>
      </c>
      <c r="C2" s="18" t="n">
        <v>20</v>
      </c>
      <c r="D2" s="19" t="n">
        <v>20</v>
      </c>
      <c r="E2" s="15" t="n"/>
      <c r="F2" s="1">
        <f>E2/D2*100</f>
        <v/>
      </c>
    </row>
    <row r="3">
      <c r="A3" s="16" t="n">
        <v>2</v>
      </c>
      <c r="B3" s="17" t="inlineStr">
        <is>
          <t>Road Sign</t>
        </is>
      </c>
      <c r="C3" s="18" t="n"/>
      <c r="D3" s="18" t="n"/>
      <c r="E3" s="15" t="n"/>
    </row>
    <row r="4">
      <c r="A4" s="16" t="n">
        <v>3</v>
      </c>
      <c r="B4" s="17" t="inlineStr">
        <is>
          <t>Streetlight</t>
        </is>
      </c>
      <c r="C4" s="18" t="n"/>
      <c r="D4" s="18" t="n"/>
      <c r="E4" s="15" t="n"/>
    </row>
    <row r="5">
      <c r="A5" s="16" t="n">
        <v>4</v>
      </c>
      <c r="B5" s="17" t="inlineStr">
        <is>
          <t>Crash Cushion</t>
        </is>
      </c>
      <c r="C5" s="18" t="n"/>
      <c r="D5" s="18" t="n"/>
      <c r="E5" s="15" t="n"/>
    </row>
    <row r="6">
      <c r="A6" s="16" t="n">
        <v>5</v>
      </c>
      <c r="B6" s="17" t="inlineStr">
        <is>
          <t>Road Marking</t>
        </is>
      </c>
      <c r="C6" s="18" t="n"/>
      <c r="D6" s="18" t="n"/>
      <c r="E6" s="15" t="n"/>
    </row>
    <row r="7">
      <c r="A7" s="16" t="n"/>
      <c r="B7" s="17" t="n"/>
      <c r="C7" s="18" t="n"/>
      <c r="D7" s="18" t="n"/>
      <c r="E7" s="15" t="n"/>
    </row>
    <row r="8">
      <c r="A8" s="16" t="n">
        <v>6</v>
      </c>
      <c r="B8" s="17" t="inlineStr">
        <is>
          <t>Road Hump</t>
        </is>
      </c>
      <c r="C8" s="18" t="n"/>
      <c r="D8" s="18" t="n"/>
      <c r="E8" s="15" t="n"/>
    </row>
    <row r="9">
      <c r="A9" s="16" t="n">
        <v>7</v>
      </c>
      <c r="B9" s="17" t="inlineStr">
        <is>
          <t>Road Studs</t>
        </is>
      </c>
      <c r="C9" s="18" t="n"/>
      <c r="D9" s="18" t="n"/>
      <c r="E9" s="15" t="n"/>
    </row>
    <row r="10">
      <c r="A10" s="16" t="n">
        <v>8</v>
      </c>
      <c r="B10" s="17" t="inlineStr">
        <is>
          <t>Barrier</t>
        </is>
      </c>
      <c r="C10" s="18" t="n"/>
      <c r="D10" s="18" t="n"/>
      <c r="E10" s="15" t="n"/>
    </row>
    <row r="11">
      <c r="A11" s="16" t="n">
        <v>9</v>
      </c>
      <c r="B11" s="17" t="inlineStr">
        <is>
          <t>Guardrail</t>
        </is>
      </c>
      <c r="C11" s="18" t="n"/>
      <c r="D11" s="18" t="n"/>
      <c r="E11" s="15" t="n"/>
    </row>
    <row r="12">
      <c r="A12" s="16" t="n">
        <v>10</v>
      </c>
      <c r="B12" s="17" t="inlineStr">
        <is>
          <t>Road Gantry</t>
        </is>
      </c>
      <c r="C12" s="18" t="n"/>
      <c r="D12" s="18" t="n"/>
      <c r="E12" s="15" t="n"/>
    </row>
    <row r="13">
      <c r="A13" s="16" t="n">
        <v>11</v>
      </c>
      <c r="B13" s="17" t="inlineStr">
        <is>
          <t>Pedestrian Crossing</t>
        </is>
      </c>
      <c r="C13" s="18" t="n"/>
      <c r="D13" s="18" t="n"/>
      <c r="E13" s="15" t="n"/>
    </row>
    <row r="14">
      <c r="A14" s="16" t="n">
        <v>12</v>
      </c>
      <c r="B14" s="17" t="inlineStr">
        <is>
          <t>Fence</t>
        </is>
      </c>
      <c r="C14" s="18" t="n"/>
      <c r="D14" s="18" t="n"/>
      <c r="E14" s="15" t="n"/>
    </row>
    <row r="15">
      <c r="A15" s="16" t="n">
        <v>13</v>
      </c>
      <c r="B15" s="17" t="inlineStr">
        <is>
          <t>Roadside Camera</t>
        </is>
      </c>
      <c r="C15" s="18" t="n"/>
      <c r="D15" s="18" t="n"/>
      <c r="E15" s="15" t="n"/>
    </row>
    <row r="16">
      <c r="A16" s="16" t="n">
        <v>14</v>
      </c>
      <c r="B16" s="17" t="inlineStr">
        <is>
          <t>Control Cabinet</t>
        </is>
      </c>
      <c r="C16" s="18" t="n"/>
      <c r="D16" s="18" t="n"/>
      <c r="E16" s="15" t="n"/>
    </row>
    <row r="17">
      <c r="A17" s="16" t="n">
        <v>15</v>
      </c>
      <c r="B17" s="17" t="inlineStr">
        <is>
          <t>Manhole</t>
        </is>
      </c>
      <c r="C17" s="18" t="n"/>
      <c r="D17" s="18" t="n"/>
      <c r="E17" s="15" t="n"/>
    </row>
    <row r="18">
      <c r="A18" s="16" t="n">
        <v>16</v>
      </c>
      <c r="B18" s="17" t="inlineStr">
        <is>
          <t>Drainage Point</t>
        </is>
      </c>
      <c r="C18" s="18" t="n"/>
      <c r="D18" s="18" t="n"/>
      <c r="E18" s="15" t="n"/>
    </row>
    <row r="19">
      <c r="A19" s="16" t="n">
        <v>17</v>
      </c>
      <c r="B19" s="17" t="inlineStr">
        <is>
          <t>Curb Stone</t>
        </is>
      </c>
      <c r="C19" s="18" t="n"/>
      <c r="D19" s="18" t="n"/>
      <c r="E19" s="15" t="n"/>
    </row>
    <row r="20">
      <c r="A20" s="16" t="n">
        <v>18</v>
      </c>
      <c r="B20" s="17" t="inlineStr">
        <is>
          <t>Footpath</t>
        </is>
      </c>
      <c r="C20" s="18" t="n"/>
      <c r="D20" s="18" t="n"/>
      <c r="E20" s="15" t="n"/>
    </row>
    <row r="21">
      <c r="A21" s="16" t="n">
        <v>19</v>
      </c>
      <c r="B21" s="17" t="inlineStr">
        <is>
          <t>Gully</t>
        </is>
      </c>
      <c r="C21" s="18" t="n"/>
      <c r="D21" s="18" t="n"/>
      <c r="E21" s="15" t="n"/>
    </row>
    <row r="22">
      <c r="A22" s="16" t="n">
        <v>20</v>
      </c>
      <c r="B22" s="17" t="inlineStr">
        <is>
          <t>Bollards</t>
        </is>
      </c>
      <c r="C22" s="18" t="n"/>
      <c r="D22" s="18" t="n"/>
      <c r="E22" s="15" t="n"/>
    </row>
    <row r="23">
      <c r="A23" s="16" t="n">
        <v>21</v>
      </c>
      <c r="B23" s="17" t="inlineStr">
        <is>
          <t>Island</t>
        </is>
      </c>
      <c r="C23" s="18" t="n"/>
      <c r="D23" s="18" t="n"/>
      <c r="E23" s="15" t="n"/>
    </row>
    <row r="24">
      <c r="A24" s="16" t="n">
        <v>22</v>
      </c>
      <c r="B24" s="17" t="inlineStr">
        <is>
          <t>Median</t>
        </is>
      </c>
      <c r="C24" s="18" t="n"/>
      <c r="D24" s="18" t="n"/>
      <c r="E24" s="15" t="n"/>
    </row>
    <row r="25">
      <c r="A25" s="16" t="n">
        <v>23</v>
      </c>
      <c r="B25" s="17" t="inlineStr">
        <is>
          <t>Parking</t>
        </is>
      </c>
      <c r="C25" s="18" t="n"/>
      <c r="D25" s="18" t="n"/>
      <c r="E25" s="15" t="n"/>
    </row>
    <row r="26">
      <c r="A26" s="16" t="n">
        <v>24</v>
      </c>
      <c r="B26" s="17" t="inlineStr">
        <is>
          <t>Layby</t>
        </is>
      </c>
      <c r="C26" s="18" t="n"/>
      <c r="D26" s="18" t="n"/>
      <c r="E26" s="15" t="n"/>
    </row>
    <row r="27">
      <c r="A27" s="16" t="n">
        <v>25</v>
      </c>
      <c r="B27" s="17" t="inlineStr">
        <is>
          <t>Decorative Furniture</t>
        </is>
      </c>
      <c r="C27" s="18" t="n"/>
      <c r="D27" s="18" t="n"/>
      <c r="E27" s="15" t="n"/>
    </row>
    <row r="28">
      <c r="A28" s="16" t="n">
        <v>26</v>
      </c>
      <c r="B28" s="17" t="inlineStr">
        <is>
          <t>Cycle Rack</t>
        </is>
      </c>
      <c r="C28" s="18" t="n"/>
      <c r="D28" s="18" t="n"/>
      <c r="E28" s="15" t="n"/>
    </row>
    <row r="29">
      <c r="A29" s="16" t="n">
        <v>27</v>
      </c>
      <c r="B29" s="17" t="inlineStr">
        <is>
          <t>Parking Tent</t>
        </is>
      </c>
      <c r="C29" s="18" t="n"/>
      <c r="D29" s="18" t="n"/>
      <c r="E29" s="15" t="n"/>
    </row>
    <row r="30">
      <c r="A30" s="16" t="n">
        <v>28</v>
      </c>
      <c r="B30" s="17" t="inlineStr">
        <is>
          <t>Pergolas</t>
        </is>
      </c>
      <c r="C30" s="18" t="n"/>
      <c r="D30" s="18" t="n"/>
      <c r="E30" s="15" t="n"/>
    </row>
    <row r="31">
      <c r="A31" s="16" t="n">
        <v>29</v>
      </c>
      <c r="B31" s="17" t="inlineStr">
        <is>
          <t>Landscape</t>
        </is>
      </c>
      <c r="C31" s="18" t="n"/>
      <c r="D31" s="18" t="n"/>
      <c r="E31" s="15" t="n"/>
    </row>
    <row r="32">
      <c r="A32" s="16" t="n">
        <v>30</v>
      </c>
      <c r="B32" s="17" t="inlineStr">
        <is>
          <t>Public Sheds</t>
        </is>
      </c>
      <c r="C32" s="18" t="n"/>
      <c r="D32" s="18" t="n"/>
      <c r="E32" s="15" t="n"/>
    </row>
    <row r="33">
      <c r="A33" s="16" t="n">
        <v>31</v>
      </c>
      <c r="B33" s="17" t="inlineStr">
        <is>
          <t>Camel Grid</t>
        </is>
      </c>
      <c r="C33" s="18" t="n"/>
      <c r="D33" s="18" t="n"/>
      <c r="E33" s="15" t="n"/>
    </row>
    <row r="34">
      <c r="A34" s="16" t="n">
        <v>32</v>
      </c>
      <c r="B34" s="17" t="inlineStr">
        <is>
          <t>Benches</t>
        </is>
      </c>
      <c r="C34" s="18" t="n"/>
      <c r="D34" s="18" t="n"/>
      <c r="E34" s="1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2026-05-19T06:30:40Z</dcterms:modified>
  <cp:lastModifiedBy>Saeed Sajjad</cp:lastModifiedBy>
</cp:coreProperties>
</file>