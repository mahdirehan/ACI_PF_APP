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07" firstSheet="0" activeTab="0" autoFilterDateGrouping="1"/>
  </bookViews>
  <sheets>
    <sheet xmlns:r="http://schemas.openxmlformats.org/officeDocument/2006/relationships" name="ACI_Calculation She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NHOLE" sheetId="3" state="visible" r:id="rId3"/>
    <sheet xmlns:r="http://schemas.openxmlformats.org/officeDocument/2006/relationships" name="GULLY" sheetId="4" state="visible" r:id="rId4"/>
    <sheet xmlns:r="http://schemas.openxmlformats.org/officeDocument/2006/relationships" name="BOLLARDS" sheetId="5" state="visible" r:id="rId5"/>
    <sheet xmlns:r="http://schemas.openxmlformats.org/officeDocument/2006/relationships" name="DRAINAGE POINT" sheetId="6" state="visible" r:id="rId6"/>
    <sheet xmlns:r="http://schemas.openxmlformats.org/officeDocument/2006/relationships" name="CRASH CUSHION &amp; END TERMINAL" sheetId="7" state="visible" r:id="rId7"/>
    <sheet xmlns:r="http://schemas.openxmlformats.org/officeDocument/2006/relationships" name="CURBSTONE" sheetId="8" state="visible" r:id="rId8"/>
    <sheet xmlns:r="http://schemas.openxmlformats.org/officeDocument/2006/relationships" name="ROAD MARKING" sheetId="9" state="visible" r:id="rId9"/>
    <sheet xmlns:r="http://schemas.openxmlformats.org/officeDocument/2006/relationships" name="GUARDRAIL" sheetId="10" state="visible" r:id="rId10"/>
    <sheet xmlns:r="http://schemas.openxmlformats.org/officeDocument/2006/relationships" name="FENCE" sheetId="11" state="visible" r:id="rId11"/>
    <sheet xmlns:r="http://schemas.openxmlformats.org/officeDocument/2006/relationships" name="GANTRY" sheetId="12" state="visible" r:id="rId12"/>
    <sheet xmlns:r="http://schemas.openxmlformats.org/officeDocument/2006/relationships" name="BARRIER" sheetId="13" state="visible" r:id="rId13"/>
    <sheet xmlns:r="http://schemas.openxmlformats.org/officeDocument/2006/relationships" name="ROAD STUD" sheetId="14" state="visible" r:id="rId14"/>
    <sheet xmlns:r="http://schemas.openxmlformats.org/officeDocument/2006/relationships" name="FOOTPATH" sheetId="15" state="visible" r:id="rId15"/>
    <sheet xmlns:r="http://schemas.openxmlformats.org/officeDocument/2006/relationships" name="HUMP" sheetId="16" state="visible" r:id="rId16"/>
    <sheet xmlns:r="http://schemas.openxmlformats.org/officeDocument/2006/relationships" name="Pedestrian Crossing" sheetId="17" state="visible" r:id="rId17"/>
    <sheet xmlns:r="http://schemas.openxmlformats.org/officeDocument/2006/relationships" name="CAMEL GRID" sheetId="18" state="visible" r:id="rId18"/>
    <sheet xmlns:r="http://schemas.openxmlformats.org/officeDocument/2006/relationships" name="PERGOLA" sheetId="19" state="visible" r:id="rId19"/>
    <sheet xmlns:r="http://schemas.openxmlformats.org/officeDocument/2006/relationships" name="ROAD MARKING SYMBOL" sheetId="20" state="hidden" r:id="rId20"/>
    <sheet xmlns:r="http://schemas.openxmlformats.org/officeDocument/2006/relationships" name="TRAFIC SIGNAL" sheetId="21" state="hidden" r:id="rId21"/>
    <sheet xmlns:r="http://schemas.openxmlformats.org/officeDocument/2006/relationships" name="CONTROL CABINET" sheetId="22" state="hidden" r:id="rId22"/>
    <sheet xmlns:r="http://schemas.openxmlformats.org/officeDocument/2006/relationships" name="STREETLIGHT" sheetId="23" state="hidden" r:id="rId23"/>
    <sheet xmlns:r="http://schemas.openxmlformats.org/officeDocument/2006/relationships" name="PUBLIC SHED" sheetId="24" state="visible" r:id="rId24"/>
    <sheet xmlns:r="http://schemas.openxmlformats.org/officeDocument/2006/relationships" name="PARKING TENTS" sheetId="25" state="visible" r:id="rId25"/>
    <sheet xmlns:r="http://schemas.openxmlformats.org/officeDocument/2006/relationships" name="ROADSIDE CAMERA" sheetId="26" state="hidden" r:id="rId26"/>
    <sheet xmlns:r="http://schemas.openxmlformats.org/officeDocument/2006/relationships" name="DECORATIVE FURNITURE" sheetId="27" state="visible" r:id="rId27"/>
    <sheet xmlns:r="http://schemas.openxmlformats.org/officeDocument/2006/relationships" name="LANDSCAPE" sheetId="28" state="visible" r:id="rId28"/>
    <sheet xmlns:r="http://schemas.openxmlformats.org/officeDocument/2006/relationships" name="PARKING" sheetId="29" state="hidden" r:id="rId29"/>
    <sheet xmlns:r="http://schemas.openxmlformats.org/officeDocument/2006/relationships" name="LABAY" sheetId="30" state="hidden" r:id="rId30"/>
    <sheet xmlns:r="http://schemas.openxmlformats.org/officeDocument/2006/relationships" name="SHOULDER" sheetId="31" state="hidden" r:id="rId31"/>
    <sheet xmlns:r="http://schemas.openxmlformats.org/officeDocument/2006/relationships" name="BENCH" sheetId="32" state="visible" r:id="rId32"/>
    <sheet xmlns:r="http://schemas.openxmlformats.org/officeDocument/2006/relationships" name="CYCLE RACK" sheetId="33" state="visible" r:id="rId33"/>
    <sheet xmlns:r="http://schemas.openxmlformats.org/officeDocument/2006/relationships" name="ISLAND" sheetId="34" state="visible" r:id="rId34"/>
    <sheet xmlns:r="http://schemas.openxmlformats.org/officeDocument/2006/relationships" name="ROAD_SIGN_FACE and POLE" sheetId="35" state="visible" r:id="rId35"/>
    <sheet xmlns:r="http://schemas.openxmlformats.org/officeDocument/2006/relationships" name="Wooden Deck" sheetId="36" state="visible" r:id="rId36"/>
    <sheet xmlns:r="http://schemas.openxmlformats.org/officeDocument/2006/relationships" name="Jogging Track" sheetId="37" state="visible" r:id="rId37"/>
    <sheet xmlns:r="http://schemas.openxmlformats.org/officeDocument/2006/relationships" name="ROAD_SIGN_POLE" sheetId="38" state="hidden" r:id="rId38"/>
  </sheets>
  <definedNames>
    <definedName name="_xlnm._FilterDatabase" localSheetId="3" hidden="1">'GULLY'!$G$1:$L$13</definedName>
    <definedName name="_xlnm._FilterDatabase" localSheetId="4" hidden="1">'BOLLARDS'!$G$1:$L$1</definedName>
    <definedName name="_xlnm._FilterDatabase" localSheetId="5" hidden="1">'DRAINAGE POINT'!$G$1:$M$1</definedName>
    <definedName name="_xlnm._FilterDatabase" localSheetId="6" hidden="1">'CRASH CUSHION &amp; END TERMINAL'!$G$1:$L$1</definedName>
    <definedName name="_xlnm._FilterDatabase" localSheetId="8" hidden="1">'ROAD MARKING'!$I$1:$N$1</definedName>
    <definedName name="_xlnm._FilterDatabase" localSheetId="9" hidden="1">'GUARDRAIL'!$G$1:$L$1</definedName>
    <definedName name="_xlnm._FilterDatabase" localSheetId="10" hidden="1">'FENCE'!$G$1:$L$1</definedName>
    <definedName name="_xlnm._FilterDatabase" localSheetId="11" hidden="1">'GANTRY'!$L$2:$U$2</definedName>
    <definedName name="_xlnm._FilterDatabase" localSheetId="12" hidden="1">'BARRIER'!$G$1:$L$1</definedName>
    <definedName name="_xlnm._FilterDatabase" localSheetId="14" hidden="1">'FOOTPATH'!$F$1:$I$1</definedName>
    <definedName name="_xlnm._FilterDatabase" localSheetId="15" hidden="1">'HUMP'!$G$1:$L$1</definedName>
    <definedName name="_xlnm._FilterDatabase" localSheetId="16" hidden="1">'Pedestrian Crossing'!$L$1:$V$1</definedName>
    <definedName name="_xlnm._FilterDatabase" localSheetId="17" hidden="1">'CAMEL GRID'!$H$1:$K$1</definedName>
    <definedName name="_xlnm._FilterDatabase" localSheetId="18" hidden="1">'PERGOLA'!$J$1:$S$1</definedName>
    <definedName name="_xlnm._FilterDatabase" localSheetId="23" hidden="1">'PUBLIC SHED'!$J$1:$S$1</definedName>
    <definedName name="_xlnm._FilterDatabase" localSheetId="24" hidden="1">'PARKING TENTS'!$J$1:$S$1</definedName>
    <definedName name="_xlnm._FilterDatabase" localSheetId="26" hidden="1">'DECORATIVE FURNITURE'!$E$1:$H$12</definedName>
    <definedName name="_xlnm._FilterDatabase" localSheetId="27" hidden="1">'LANDSCAPE'!$E$1:$H$12</definedName>
    <definedName name="_xlnm._FilterDatabase" localSheetId="31" hidden="1">'BENCH'!$F$1:$K$12</definedName>
    <definedName name="_xlnm._FilterDatabase" localSheetId="32" hidden="1">'CYCLE RACK'!$G$1:$L$12</definedName>
    <definedName name="_xlnm._FilterDatabase" localSheetId="33" hidden="1">'ISLAND'!$G$1:$J$12</definedName>
    <definedName name="_xlnm._FilterDatabase" localSheetId="34" hidden="1">'ROAD_SIGN_FACE and POLE'!$Z$4:$AE$15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indexed="8"/>
      <sz val="11"/>
      <scheme val="minor"/>
    </font>
    <font>
      <name val="Dubai"/>
      <family val="2"/>
      <color theme="1"/>
      <sz val="11"/>
    </font>
    <font>
      <name val="Aptos Display"/>
      <family val="2"/>
      <color theme="1"/>
      <sz val="11"/>
      <scheme val="maj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indexed="8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i val="1"/>
      <color indexed="8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b val="1"/>
      <color theme="0"/>
      <sz val="18"/>
      <scheme val="minor"/>
    </font>
    <font>
      <name val="Aptos Narrow"/>
      <family val="2"/>
      <b val="1"/>
      <color theme="0"/>
      <sz val="14"/>
      <scheme val="minor"/>
    </font>
    <font>
      <name val="Dubai"/>
      <family val="2"/>
      <b val="1"/>
      <color rgb="FFFFFFFF"/>
      <sz val="11"/>
    </font>
    <font>
      <name val="Dubai"/>
      <family val="2"/>
      <sz val="11"/>
    </font>
    <font>
      <name val="Aptos Narrow"/>
      <family val="2"/>
      <b val="1"/>
      <color rgb="FFC00000"/>
      <sz val="14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1" fillId="0" borderId="0"/>
  </cellStyleXfs>
  <cellXfs count="1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vertical="center"/>
    </xf>
    <xf numFmtId="0" fontId="5" fillId="0" borderId="1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0" fontId="6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/>
    </xf>
    <xf numFmtId="0" fontId="9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13" fillId="6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/>
    </xf>
    <xf numFmtId="0" fontId="12" fillId="5" borderId="0" applyAlignment="1" pivotButton="0" quotePrefix="0" xfId="0">
      <alignment horizontal="center" wrapText="1"/>
    </xf>
    <xf numFmtId="0" fontId="12" fillId="5" borderId="0" applyAlignment="1" pivotButton="0" quotePrefix="0" xfId="0">
      <alignment horizontal="left"/>
    </xf>
    <xf numFmtId="0" fontId="13" fillId="6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Q14" sqref="Q14"/>
    </sheetView>
  </sheetViews>
  <sheetFormatPr baseColWidth="8" defaultRowHeight="15"/>
  <cols>
    <col width="40.7109375" bestFit="1" customWidth="1" min="1" max="1"/>
    <col width="14.5703125" bestFit="1" customWidth="1" min="2" max="2"/>
  </cols>
  <sheetData>
    <row r="1"/>
    <row r="2">
      <c r="A2" t="inlineStr">
        <is>
          <t>Select The Ancillary Asset to Calculate the ACI</t>
        </is>
      </c>
      <c r="B2" t="inlineStr">
        <is>
          <t>Select the Asset</t>
        </is>
      </c>
    </row>
    <row r="3"/>
    <row r="4">
      <c r="A4" t="inlineStr">
        <is>
          <t>Select the Functional Defects</t>
        </is>
      </c>
    </row>
    <row r="5">
      <c r="A5" t="inlineStr">
        <is>
          <t>Select the Appearance Defects</t>
        </is>
      </c>
    </row>
    <row r="6"/>
    <row r="7"/>
    <row r="8">
      <c r="A8" t="inlineStr">
        <is>
          <t>ACI</t>
        </is>
      </c>
      <c r="B8" t="inlineStr">
        <is>
          <t>Value</t>
        </is>
      </c>
    </row>
    <row r="9">
      <c r="A9" t="inlineStr">
        <is>
          <t>ACI Rating</t>
        </is>
      </c>
      <c r="B9" t="inlineStr">
        <is>
          <t>Good, Fair, Poor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145" zoomScaleNormal="145" workbookViewId="0">
      <selection activeCell="A4" sqref="A4:D6"/>
    </sheetView>
  </sheetViews>
  <sheetFormatPr baseColWidth="8" defaultRowHeight="15"/>
  <cols>
    <col width="7.28515625" customWidth="1" style="7" min="1" max="1"/>
    <col width="28" bestFit="1" customWidth="1" style="7" min="2" max="2"/>
    <col width="29.85546875" bestFit="1" customWidth="1" style="7" min="3" max="3"/>
    <col width="30.28515625" bestFit="1" customWidth="1" style="7" min="4" max="4"/>
    <col width="31.42578125" bestFit="1" customWidth="1" style="7" min="5" max="5"/>
    <col width="32.5703125" bestFit="1" customWidth="1" style="7" min="6" max="6"/>
    <col width="9.140625" customWidth="1" style="7" min="7" max="16384"/>
  </cols>
  <sheetData>
    <row r="1"/>
    <row r="2" ht="27" customHeight="1">
      <c r="A2" s="43" t="inlineStr">
        <is>
          <t>SN</t>
        </is>
      </c>
      <c r="B2" s="43" t="inlineStr">
        <is>
          <t>Asset</t>
        </is>
      </c>
      <c r="C2" s="43" t="inlineStr">
        <is>
          <t>Types of Defects Considered</t>
        </is>
      </c>
      <c r="D2" s="97" t="n"/>
      <c r="E2" s="97" t="n"/>
      <c r="F2" s="98" t="n"/>
    </row>
    <row r="3">
      <c r="A3" s="8" t="n"/>
      <c r="B3" s="8" t="inlineStr">
        <is>
          <t>Select the Asset</t>
        </is>
      </c>
      <c r="C3" s="8" t="inlineStr">
        <is>
          <t>Select the Asset</t>
        </is>
      </c>
      <c r="D3" s="8" t="inlineStr">
        <is>
          <t>Select the Asset</t>
        </is>
      </c>
      <c r="E3" s="8" t="inlineStr">
        <is>
          <t>Select the Asset</t>
        </is>
      </c>
      <c r="F3" s="8" t="inlineStr">
        <is>
          <t>Select the Asset</t>
        </is>
      </c>
    </row>
    <row r="4">
      <c r="A4" s="8" t="n">
        <v>1</v>
      </c>
      <c r="B4" s="8" t="inlineStr">
        <is>
          <t>Manhole</t>
        </is>
      </c>
      <c r="C4" s="8" t="inlineStr">
        <is>
          <t>Functional Defects</t>
        </is>
      </c>
      <c r="D4" s="8" t="inlineStr">
        <is>
          <t>Appearance Defects</t>
        </is>
      </c>
      <c r="E4" s="8" t="inlineStr">
        <is>
          <t>-</t>
        </is>
      </c>
      <c r="F4" s="8" t="inlineStr">
        <is>
          <t>-</t>
        </is>
      </c>
    </row>
    <row r="5">
      <c r="A5" s="8" t="n">
        <v>2</v>
      </c>
      <c r="B5" s="8" t="inlineStr">
        <is>
          <t>Gully</t>
        </is>
      </c>
      <c r="C5" s="8" t="inlineStr">
        <is>
          <t>Functional Defects</t>
        </is>
      </c>
      <c r="D5" s="8" t="inlineStr">
        <is>
          <t>Appearance Defects</t>
        </is>
      </c>
      <c r="E5" s="8" t="inlineStr">
        <is>
          <t>-</t>
        </is>
      </c>
      <c r="F5" s="8" t="inlineStr">
        <is>
          <t>-</t>
        </is>
      </c>
    </row>
    <row r="6">
      <c r="A6" s="8" t="n">
        <v>3</v>
      </c>
      <c r="B6" s="8" t="inlineStr">
        <is>
          <t>Bollards</t>
        </is>
      </c>
      <c r="C6" s="8" t="inlineStr">
        <is>
          <t>Functional Defects</t>
        </is>
      </c>
      <c r="D6" s="8" t="inlineStr">
        <is>
          <t>Appearance Defects</t>
        </is>
      </c>
      <c r="E6" s="8" t="inlineStr">
        <is>
          <t>-</t>
        </is>
      </c>
      <c r="F6" s="8" t="inlineStr">
        <is>
          <t>-</t>
        </is>
      </c>
    </row>
    <row r="7">
      <c r="A7" s="8" t="n">
        <v>4</v>
      </c>
      <c r="B7" s="8" t="inlineStr">
        <is>
          <t>Drainage Point</t>
        </is>
      </c>
      <c r="C7" s="8" t="inlineStr">
        <is>
          <t>Blockage Defects</t>
        </is>
      </c>
      <c r="D7" s="8" t="inlineStr">
        <is>
          <t>Concrete Damage Defects</t>
        </is>
      </c>
      <c r="E7" s="8" t="inlineStr">
        <is>
          <t>-</t>
        </is>
      </c>
      <c r="F7" s="8" t="inlineStr">
        <is>
          <t>-</t>
        </is>
      </c>
    </row>
    <row r="8">
      <c r="A8" s="8" t="n">
        <v>5</v>
      </c>
      <c r="B8" s="8" t="inlineStr">
        <is>
          <t xml:space="preserve">Crash Cushion </t>
        </is>
      </c>
      <c r="C8" s="8" t="inlineStr">
        <is>
          <t>Functional Defects</t>
        </is>
      </c>
      <c r="D8" s="8" t="inlineStr">
        <is>
          <t>Appearance Defects</t>
        </is>
      </c>
      <c r="E8" s="8" t="inlineStr">
        <is>
          <t>-</t>
        </is>
      </c>
      <c r="F8" s="8" t="inlineStr">
        <is>
          <t>-</t>
        </is>
      </c>
    </row>
    <row r="9">
      <c r="A9" s="8" t="n">
        <v>6</v>
      </c>
      <c r="B9" s="94" t="inlineStr">
        <is>
          <t>Curb Stones</t>
        </is>
      </c>
      <c r="C9" s="8" t="inlineStr">
        <is>
          <t>Functional Defects</t>
        </is>
      </c>
      <c r="D9" s="8" t="inlineStr">
        <is>
          <t>Appearance Defects</t>
        </is>
      </c>
      <c r="E9" s="8" t="inlineStr">
        <is>
          <t>-</t>
        </is>
      </c>
      <c r="F9" s="8" t="inlineStr">
        <is>
          <t>-</t>
        </is>
      </c>
    </row>
    <row r="10">
      <c r="A10" s="8" t="n">
        <v>7</v>
      </c>
      <c r="B10" s="8" t="inlineStr">
        <is>
          <t>Road Marking</t>
        </is>
      </c>
      <c r="C10" s="8" t="inlineStr">
        <is>
          <t>Presence Defects</t>
        </is>
      </c>
      <c r="D10" s="7" t="inlineStr">
        <is>
          <t>Visibility Assessment</t>
        </is>
      </c>
      <c r="F10" s="8" t="n"/>
    </row>
    <row r="11">
      <c r="A11" s="8" t="n"/>
      <c r="B11" s="8" t="n"/>
      <c r="C11" s="8" t="n"/>
      <c r="D11" s="7" t="inlineStr">
        <is>
          <t>RL</t>
        </is>
      </c>
      <c r="E11" s="8" t="inlineStr">
        <is>
          <t>Select Road Type</t>
        </is>
      </c>
      <c r="F11" s="8" t="inlineStr">
        <is>
          <t>Select Rad Marking Color</t>
        </is>
      </c>
      <c r="G11" s="7" t="inlineStr">
        <is>
          <t>Input Measured Retroreflectivity (RL) Value</t>
        </is>
      </c>
    </row>
    <row r="12">
      <c r="A12" s="8" t="n"/>
      <c r="B12" s="8" t="n"/>
      <c r="C12" s="8" t="n"/>
      <c r="D12" s="7" t="inlineStr">
        <is>
          <t>Visual</t>
        </is>
      </c>
      <c r="E12" s="8" t="n"/>
      <c r="F12" s="8" t="n"/>
    </row>
    <row r="13">
      <c r="A13" s="8" t="n"/>
      <c r="B13" s="8" t="n"/>
      <c r="C13" s="8" t="n"/>
      <c r="E13" s="8" t="n"/>
      <c r="F13" s="8" t="n"/>
    </row>
    <row r="14">
      <c r="A14" s="8" t="n">
        <v>8</v>
      </c>
      <c r="B14" s="8" t="inlineStr">
        <is>
          <t>Guardrail</t>
        </is>
      </c>
      <c r="C14" s="8" t="inlineStr">
        <is>
          <t>Functional Defects</t>
        </is>
      </c>
      <c r="D14" s="8" t="inlineStr">
        <is>
          <t>Appearance Defects</t>
        </is>
      </c>
      <c r="E14" s="8" t="inlineStr">
        <is>
          <t>-</t>
        </is>
      </c>
      <c r="F14" s="8" t="inlineStr">
        <is>
          <t>-</t>
        </is>
      </c>
    </row>
    <row r="15">
      <c r="A15" s="8" t="n">
        <v>9</v>
      </c>
      <c r="B15" s="8" t="inlineStr">
        <is>
          <t>Fence</t>
        </is>
      </c>
      <c r="C15" s="8" t="inlineStr">
        <is>
          <t>Functional Defects</t>
        </is>
      </c>
      <c r="D15" s="8" t="inlineStr">
        <is>
          <t>Appearance Defects</t>
        </is>
      </c>
      <c r="E15" s="8" t="inlineStr">
        <is>
          <t>-</t>
        </is>
      </c>
      <c r="F15" s="8" t="inlineStr">
        <is>
          <t>-</t>
        </is>
      </c>
    </row>
    <row r="16" ht="30" customHeight="1">
      <c r="A16" s="8" t="n">
        <v>10</v>
      </c>
      <c r="B16" s="8" t="inlineStr">
        <is>
          <t>Road Gantry</t>
        </is>
      </c>
      <c r="C16" s="8" t="inlineStr">
        <is>
          <t>Foundation Defects</t>
        </is>
      </c>
      <c r="D16" s="90" t="inlineStr">
        <is>
          <t>Road Gantry Sign Visibility Defects</t>
        </is>
      </c>
      <c r="E16" s="90" t="inlineStr">
        <is>
          <t>Road Gantry Sign Presence Defects</t>
        </is>
      </c>
      <c r="F16" s="90" t="inlineStr">
        <is>
          <t>Structure Defects</t>
        </is>
      </c>
    </row>
    <row r="17">
      <c r="A17" s="8" t="n">
        <v>11</v>
      </c>
      <c r="B17" s="8" t="inlineStr">
        <is>
          <t>Barrier</t>
        </is>
      </c>
      <c r="C17" s="8" t="inlineStr">
        <is>
          <t>Functional Defects</t>
        </is>
      </c>
      <c r="D17" s="8" t="inlineStr">
        <is>
          <t>Appearance Defects</t>
        </is>
      </c>
      <c r="E17" s="8" t="inlineStr">
        <is>
          <t>-</t>
        </is>
      </c>
      <c r="F17" s="8" t="inlineStr">
        <is>
          <t>-</t>
        </is>
      </c>
    </row>
    <row r="18">
      <c r="A18" s="8" t="n">
        <v>12</v>
      </c>
      <c r="B18" s="8" t="inlineStr">
        <is>
          <t>Road Stud</t>
        </is>
      </c>
      <c r="C18" s="8" t="inlineStr">
        <is>
          <t>Functional Defects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</row>
    <row r="19">
      <c r="A19" s="8" t="n">
        <v>13</v>
      </c>
      <c r="B19" s="8" t="inlineStr">
        <is>
          <t>Footpath</t>
        </is>
      </c>
      <c r="C19" s="8" t="inlineStr">
        <is>
          <t>Functional Defects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</row>
    <row r="20">
      <c r="A20" s="8" t="n">
        <v>14</v>
      </c>
      <c r="B20" s="8" t="inlineStr">
        <is>
          <t>Road Hump</t>
        </is>
      </c>
      <c r="C20" s="8" t="inlineStr">
        <is>
          <t>Structural Defects</t>
        </is>
      </c>
      <c r="D20" s="8" t="inlineStr">
        <is>
          <t>Appearance Defects</t>
        </is>
      </c>
      <c r="E20" s="8" t="inlineStr">
        <is>
          <t>-</t>
        </is>
      </c>
      <c r="F20" s="8" t="inlineStr">
        <is>
          <t>-</t>
        </is>
      </c>
    </row>
    <row r="21">
      <c r="A21" s="8" t="n">
        <v>15</v>
      </c>
      <c r="B21" s="8" t="inlineStr">
        <is>
          <t>Pedestrian Crossing (Raised)</t>
        </is>
      </c>
      <c r="C21" s="8" t="inlineStr">
        <is>
          <t>Structural Defects</t>
        </is>
      </c>
      <c r="D21" s="8" t="inlineStr">
        <is>
          <t>Visibility Defects</t>
        </is>
      </c>
      <c r="E21" s="8" t="inlineStr">
        <is>
          <t>Presence Defects</t>
        </is>
      </c>
      <c r="F21" s="8" t="inlineStr">
        <is>
          <t>-</t>
        </is>
      </c>
    </row>
    <row r="22">
      <c r="A22" s="8" t="n"/>
      <c r="B22" s="8" t="inlineStr">
        <is>
          <t>Pedestrian Crossing (Levelled)</t>
        </is>
      </c>
      <c r="C22" s="8" t="inlineStr">
        <is>
          <t>-</t>
        </is>
      </c>
      <c r="D22" s="8" t="inlineStr">
        <is>
          <t>Visibility Defects</t>
        </is>
      </c>
      <c r="E22" s="8" t="inlineStr">
        <is>
          <t>Presence Defects</t>
        </is>
      </c>
      <c r="F22" s="8" t="inlineStr">
        <is>
          <t>-</t>
        </is>
      </c>
    </row>
    <row r="23">
      <c r="A23" s="8" t="n">
        <v>16</v>
      </c>
      <c r="B23" s="96" t="inlineStr">
        <is>
          <t>Camel Grid</t>
        </is>
      </c>
      <c r="C23" s="8" t="inlineStr">
        <is>
          <t>Functional Defects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</row>
    <row r="24">
      <c r="A24" s="8" t="n">
        <v>17</v>
      </c>
      <c r="B24" s="8" t="inlineStr">
        <is>
          <t>Pergola</t>
        </is>
      </c>
      <c r="C24" s="8" t="inlineStr">
        <is>
          <t>Foundation Defects</t>
        </is>
      </c>
      <c r="D24" s="8" t="inlineStr">
        <is>
          <t>Column Functionality Defects</t>
        </is>
      </c>
      <c r="E24" s="8" t="inlineStr">
        <is>
          <t>Column Appearance Defects</t>
        </is>
      </c>
      <c r="F24" s="8" t="inlineStr">
        <is>
          <t>Roof Defects</t>
        </is>
      </c>
    </row>
    <row r="25">
      <c r="A25" s="8" t="n">
        <v>18</v>
      </c>
      <c r="B25" s="95" t="inlineStr">
        <is>
          <t>Public Shed</t>
        </is>
      </c>
      <c r="C25" s="8" t="inlineStr">
        <is>
          <t>Foundation Defects</t>
        </is>
      </c>
      <c r="D25" s="8" t="inlineStr">
        <is>
          <t>Column Functionality Defects</t>
        </is>
      </c>
      <c r="E25" s="8" t="inlineStr">
        <is>
          <t>Column Appearance Defects</t>
        </is>
      </c>
      <c r="F25" s="8" t="inlineStr">
        <is>
          <t>Roof Defects</t>
        </is>
      </c>
    </row>
    <row r="26">
      <c r="A26" s="8" t="n">
        <v>19</v>
      </c>
      <c r="B26" s="8" t="inlineStr">
        <is>
          <t>Parking tent</t>
        </is>
      </c>
      <c r="C26" s="8" t="inlineStr">
        <is>
          <t>Foundation Defects</t>
        </is>
      </c>
      <c r="D26" s="8" t="inlineStr">
        <is>
          <t>Column Functionality Defects</t>
        </is>
      </c>
      <c r="E26" s="8" t="inlineStr">
        <is>
          <t>Column Appearance Defects</t>
        </is>
      </c>
      <c r="F26" s="8" t="inlineStr">
        <is>
          <t>Roof Defects</t>
        </is>
      </c>
    </row>
    <row r="27">
      <c r="A27" s="8" t="n">
        <v>20</v>
      </c>
      <c r="B27" s="8" t="inlineStr">
        <is>
          <t>Decorative Furniture</t>
        </is>
      </c>
      <c r="C27" s="8" t="inlineStr">
        <is>
          <t>Functional Defects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</row>
    <row r="28">
      <c r="A28" s="8" t="n">
        <v>21</v>
      </c>
      <c r="B28" s="8" t="inlineStr">
        <is>
          <t>Landscape</t>
        </is>
      </c>
      <c r="C28" s="8" t="inlineStr">
        <is>
          <t>Functional Defects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</row>
    <row r="29">
      <c r="A29" s="8" t="n">
        <v>22</v>
      </c>
      <c r="B29" s="8" t="inlineStr">
        <is>
          <t>Bench</t>
        </is>
      </c>
      <c r="C29" s="8" t="inlineStr">
        <is>
          <t>Structural Defects</t>
        </is>
      </c>
      <c r="D29" s="8" t="inlineStr">
        <is>
          <t>Appearance Defects</t>
        </is>
      </c>
      <c r="E29" s="8" t="inlineStr">
        <is>
          <t>-</t>
        </is>
      </c>
      <c r="F29" s="8" t="inlineStr">
        <is>
          <t>-</t>
        </is>
      </c>
    </row>
    <row r="30">
      <c r="A30" s="8" t="n">
        <v>23</v>
      </c>
      <c r="B30" s="8" t="inlineStr">
        <is>
          <t>Cycle Rack</t>
        </is>
      </c>
      <c r="C30" s="8" t="inlineStr">
        <is>
          <t>Structural Defects</t>
        </is>
      </c>
      <c r="D30" s="8" t="inlineStr">
        <is>
          <t>Appearance Defects</t>
        </is>
      </c>
      <c r="E30" s="8" t="inlineStr">
        <is>
          <t>-</t>
        </is>
      </c>
      <c r="F30" s="8" t="inlineStr">
        <is>
          <t>-</t>
        </is>
      </c>
    </row>
    <row r="31">
      <c r="A31" s="8" t="n">
        <v>24</v>
      </c>
      <c r="B31" s="8" t="inlineStr">
        <is>
          <t>Island</t>
        </is>
      </c>
      <c r="C31" s="8" t="inlineStr">
        <is>
          <t>Functional Defects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</row>
    <row r="32">
      <c r="A32" s="8" t="n">
        <v>25</v>
      </c>
      <c r="B32" s="8" t="inlineStr">
        <is>
          <t>Road Sign</t>
        </is>
      </c>
      <c r="C32" s="8" t="inlineStr">
        <is>
          <t>Road Sign Face Visibility Defects</t>
        </is>
      </c>
      <c r="D32" s="8" t="inlineStr">
        <is>
          <t>Road Sign Face Presence Defects</t>
        </is>
      </c>
      <c r="E32" s="8" t="inlineStr">
        <is>
          <t>Road Sign Pole Functional Defects</t>
        </is>
      </c>
      <c r="F32" s="8" t="inlineStr">
        <is>
          <t>Road Sign Pole Appearance Defects</t>
        </is>
      </c>
    </row>
    <row r="33">
      <c r="A33" s="8" t="n">
        <v>26</v>
      </c>
      <c r="B33" s="8" t="inlineStr">
        <is>
          <t>Wooden Deck</t>
        </is>
      </c>
      <c r="C33" s="8" t="inlineStr">
        <is>
          <t>Functional Defects</t>
        </is>
      </c>
      <c r="D33" s="8" t="inlineStr">
        <is>
          <t>Appearance Defects</t>
        </is>
      </c>
      <c r="E33" s="8" t="inlineStr">
        <is>
          <t>-</t>
        </is>
      </c>
      <c r="F33" s="8" t="inlineStr">
        <is>
          <t>-</t>
        </is>
      </c>
    </row>
    <row r="34">
      <c r="A34" s="8" t="n">
        <v>27</v>
      </c>
      <c r="B34" s="8" t="inlineStr">
        <is>
          <t>Jogging track</t>
        </is>
      </c>
      <c r="C34" s="8" t="inlineStr">
        <is>
          <t>Functional Defects</t>
        </is>
      </c>
      <c r="D34" s="8" t="inlineStr">
        <is>
          <t>Appearance Defects</t>
        </is>
      </c>
      <c r="E34" s="8" t="inlineStr">
        <is>
          <t>-</t>
        </is>
      </c>
      <c r="F34" s="8" t="inlineStr">
        <is>
          <t>-</t>
        </is>
      </c>
    </row>
  </sheetData>
  <mergeCells count="1"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T28"/>
  <sheetViews>
    <sheetView workbookViewId="0">
      <selection activeCell="E15" sqref="E15"/>
    </sheetView>
  </sheetViews>
  <sheetFormatPr baseColWidth="8" defaultRowHeight="15"/>
  <cols>
    <col width="40.7109375" customWidth="1" min="1" max="2"/>
    <col width="9.140625" customWidth="1" min="4" max="10"/>
    <col width="99" bestFit="1" customWidth="1" min="11" max="11"/>
    <col width="48.140625" customWidth="1" min="12" max="12"/>
    <col width="19.7109375" customWidth="1" min="13" max="13"/>
    <col width="21" customWidth="1" min="14" max="14"/>
    <col width="10" customWidth="1" min="15" max="15"/>
    <col width="10.28515625" customWidth="1" min="16" max="16"/>
  </cols>
  <sheetData>
    <row r="1" ht="24" customHeight="1">
      <c r="A1" s="78" t="inlineStr">
        <is>
          <t>Manhole Asset Condition Index Calculator (ACI-MN)</t>
        </is>
      </c>
      <c r="K1" s="87" t="inlineStr">
        <is>
          <t>Functional Defects</t>
        </is>
      </c>
      <c r="L1" s="87" t="inlineStr">
        <is>
          <t>Appearance Defects</t>
        </is>
      </c>
      <c r="M1" s="87" t="inlineStr">
        <is>
          <t>Functional Score (F)</t>
        </is>
      </c>
      <c r="N1" s="87" t="inlineStr">
        <is>
          <t>Appearance Score (A)</t>
        </is>
      </c>
      <c r="O1" s="87" t="inlineStr">
        <is>
          <t>ACI = F + A</t>
        </is>
      </c>
      <c r="P1" s="87" t="inlineStr">
        <is>
          <t>ACI Rating</t>
        </is>
      </c>
    </row>
    <row r="2">
      <c r="K2" s="87" t="n"/>
      <c r="L2" s="87" t="n"/>
      <c r="M2" s="87" t="n"/>
      <c r="N2" s="87" t="n"/>
      <c r="O2" s="87" t="n"/>
      <c r="P2" s="87" t="n"/>
    </row>
    <row r="3" ht="60" customHeight="1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K3" s="40" t="inlineStr">
        <is>
          <t>Select Functional Defect</t>
        </is>
      </c>
      <c r="L3" s="40" t="inlineStr">
        <is>
          <t>Select Appearance Defects</t>
        </is>
      </c>
      <c r="M3" s="41" t="inlineStr">
        <is>
          <t>Please select Appropriate Functional and Appearance Defects</t>
        </is>
      </c>
      <c r="N3" s="41" t="inlineStr">
        <is>
          <t>Please select Appropriate Functional and Appearance Defects</t>
        </is>
      </c>
      <c r="O3" s="35" t="n"/>
      <c r="P3" s="35" t="n"/>
    </row>
    <row r="4" ht="30" customHeight="1">
      <c r="A4" s="42" t="inlineStr">
        <is>
          <t xml:space="preserve">The Manhole Cover is Totally Missing (safety concern) </t>
        </is>
      </c>
      <c r="B4" s="42" t="inlineStr">
        <is>
          <t>No Defect Found</t>
        </is>
      </c>
      <c r="D4" s="1">
        <f>VLOOKUP(A4, K1:M12, 3,FALSE)</f>
        <v/>
      </c>
      <c r="E4" s="1">
        <f>VLOOKUP(B4, L1:N12, 3, FALSE)</f>
        <v/>
      </c>
      <c r="K4" s="19" t="inlineStr">
        <is>
          <t>No Defect Found</t>
        </is>
      </c>
      <c r="L4" s="4" t="inlineStr">
        <is>
          <t>No Defect Found</t>
        </is>
      </c>
      <c r="M4" s="3" t="n">
        <v>80</v>
      </c>
      <c r="N4" s="3" t="n">
        <v>20</v>
      </c>
      <c r="O4" s="3">
        <f>M4+N4</f>
        <v/>
      </c>
      <c r="P4" s="3">
        <f>IF(AND(O4&gt;=80, O4&lt;=100), "GOOD", IF(AND(O4&gt;40, O4&lt;80), "FAIR", "POOR"))</f>
        <v/>
      </c>
    </row>
    <row r="5" ht="21" customHeight="1">
      <c r="K5" s="9" t="inlineStr">
        <is>
          <t xml:space="preserve">Manhole Cover is 5% not levelled with the surface or the surface concrete of Manhole has deterioration 5% </t>
        </is>
      </c>
      <c r="L5" s="2" t="inlineStr">
        <is>
          <t>Paint Faded or Peeled off 2%</t>
        </is>
      </c>
      <c r="M5" s="3" t="n">
        <v>70</v>
      </c>
      <c r="N5" s="3">
        <f>N4-2</f>
        <v/>
      </c>
      <c r="O5" s="3">
        <f>M5+N5</f>
        <v/>
      </c>
      <c r="P5" s="3">
        <f>IF(AND(O5&gt;=80, O5&lt;=100), "GOOD", IF(AND(O5&gt;40, O5&lt;80), "FAIR", "POOR"))</f>
        <v/>
      </c>
    </row>
    <row r="6" ht="21" customHeight="1">
      <c r="K6" s="9" t="inlineStr">
        <is>
          <t xml:space="preserve">Manhole Cover is 10% not levelled with the surface or the surface concrete of Manhole has deterioration 10% </t>
        </is>
      </c>
      <c r="L6" s="2" t="inlineStr">
        <is>
          <t>Paint Faded or Peeled off 4%</t>
        </is>
      </c>
      <c r="M6" s="3" t="n">
        <v>60</v>
      </c>
      <c r="N6" s="3">
        <f>N5-2</f>
        <v/>
      </c>
      <c r="O6" s="3">
        <f>M6+N6</f>
        <v/>
      </c>
      <c r="P6" s="3">
        <f>IF(AND(O6&gt;=80, O6&lt;=100), "GOOD", IF(AND(O6&gt;40, O6&lt;80), "FAIR", "POOR"))</f>
        <v/>
      </c>
    </row>
    <row r="7" ht="21" customHeight="1">
      <c r="A7" s="36" t="inlineStr">
        <is>
          <t>(ACI-MN) Value</t>
        </is>
      </c>
      <c r="B7" s="37">
        <f>IF(D4=0, 0, D4+E4)</f>
        <v/>
      </c>
      <c r="K7" s="9" t="inlineStr">
        <is>
          <t xml:space="preserve">Manhole Cover is 15% not levelled with the surface or the surface concrete of Manhole has deterioration 15% </t>
        </is>
      </c>
      <c r="L7" s="2" t="inlineStr">
        <is>
          <t>Paint Faded or Peeled off 6%</t>
        </is>
      </c>
      <c r="M7" s="3" t="n">
        <v>50</v>
      </c>
      <c r="N7" s="3">
        <f>N6-2</f>
        <v/>
      </c>
      <c r="O7" s="3">
        <f>M7+N7</f>
        <v/>
      </c>
      <c r="P7" s="3">
        <f>IF(AND(O7&gt;=80, O7&lt;=100), "GOOD", IF(AND(O7&gt;40, O7&lt;80), "FAIR", "POOR"))</f>
        <v/>
      </c>
    </row>
    <row r="8" ht="21" customHeight="1">
      <c r="A8" s="36" t="inlineStr">
        <is>
          <t>(ACI-MN) Condition</t>
        </is>
      </c>
      <c r="B8" s="37">
        <f>IF(AND(B7&gt;=80, B7&lt;=100), "GOOD", IF(AND(B7&gt;40, B7&lt;80), "FAIR", "POOR"))</f>
        <v/>
      </c>
      <c r="K8" s="9" t="inlineStr">
        <is>
          <t xml:space="preserve">Manhole Cover is 25% not levelled with the surface or the surface concrete of Manhole has deterioration 25% </t>
        </is>
      </c>
      <c r="L8" s="2" t="inlineStr">
        <is>
          <t>Paint Faded or Peeled off 8%</t>
        </is>
      </c>
      <c r="M8" s="3" t="n">
        <v>40</v>
      </c>
      <c r="N8" s="3">
        <f>N7-2</f>
        <v/>
      </c>
      <c r="O8" s="3">
        <f>M8+N8</f>
        <v/>
      </c>
      <c r="P8" s="3">
        <f>IF(AND(O8&gt;=80, O8&lt;=100), "GOOD", IF(AND(O8&gt;40, O8&lt;80), "FAIR", "POOR"))</f>
        <v/>
      </c>
    </row>
    <row r="9" ht="21" customHeight="1">
      <c r="K9" s="9" t="inlineStr">
        <is>
          <t xml:space="preserve">Manhole Cover is 30% not levelled with the surface or the surface concrete of Manhole has deterioration 25% </t>
        </is>
      </c>
      <c r="L9" s="2" t="inlineStr">
        <is>
          <t>Paint Faded or Peeled off with rusting 10%</t>
        </is>
      </c>
      <c r="M9" s="3" t="n">
        <v>30</v>
      </c>
      <c r="N9" s="3">
        <f>N8-2</f>
        <v/>
      </c>
      <c r="O9" s="3">
        <f>M9+N9</f>
        <v/>
      </c>
      <c r="P9" s="3">
        <f>IF(AND(O9&gt;=80, O9&lt;=100), "GOOD", IF(AND(O9&gt;40, O9&lt;80), "FAIR", "POOR"))</f>
        <v/>
      </c>
    </row>
    <row r="10" ht="21" customHeight="1">
      <c r="K10" s="38" t="inlineStr">
        <is>
          <t>The Manhole Cover is damaged 40%</t>
        </is>
      </c>
      <c r="L10" s="2" t="inlineStr">
        <is>
          <t>Paint Faded or Peeled off with rusting 12%</t>
        </is>
      </c>
      <c r="M10" s="3" t="n">
        <v>20</v>
      </c>
      <c r="N10" s="3">
        <f>N9-2</f>
        <v/>
      </c>
      <c r="O10" s="3">
        <f>M10+N10</f>
        <v/>
      </c>
      <c r="P10" s="3">
        <f>IF(AND(O10&gt;=80, O10&lt;=100), "GOOD", IF(AND(O10&gt;40, O10&lt;80), "FAIR", "POOR"))</f>
        <v/>
      </c>
    </row>
    <row r="11" ht="21" customHeight="1">
      <c r="K11" s="38" t="inlineStr">
        <is>
          <t>The Manhole Cover is damaged more than 40%</t>
        </is>
      </c>
      <c r="L11" s="2" t="inlineStr">
        <is>
          <t>Paint Faded or Peeled off with rusting 20%</t>
        </is>
      </c>
      <c r="M11" s="3" t="n">
        <v>10</v>
      </c>
      <c r="N11" s="3">
        <f>N10-2</f>
        <v/>
      </c>
      <c r="O11" s="3">
        <f>M11+N11</f>
        <v/>
      </c>
      <c r="P11" s="3">
        <f>IF(AND(O11&gt;=80, O11&lt;=100), "GOOD", IF(AND(O11&gt;40, O11&lt;80), "FAIR", "POOR"))</f>
        <v/>
      </c>
    </row>
    <row r="12" ht="21" customHeight="1">
      <c r="K12" s="38" t="inlineStr">
        <is>
          <t xml:space="preserve">The Manhole Cover is Totally Missing (safety concern) </t>
        </is>
      </c>
      <c r="L12" s="2" t="inlineStr">
        <is>
          <t>Paint Faded or Peeled off with rusting more than 20%</t>
        </is>
      </c>
      <c r="M12" s="3" t="n">
        <v>0</v>
      </c>
      <c r="N12" s="3" t="n">
        <v>0</v>
      </c>
      <c r="O12" s="3">
        <f>M12+N12</f>
        <v/>
      </c>
      <c r="P12" s="3">
        <f>IF(AND(O12&gt;=80, O12&lt;=100), "GOOD", IF(AND(O12&gt;40, O12&lt;80), "FAIR", "POOR"))</f>
        <v/>
      </c>
    </row>
    <row r="13">
      <c r="M13" s="1" t="n"/>
      <c r="N13" s="1" t="n"/>
      <c r="O13" s="1" t="n"/>
      <c r="T13" t="inlineStr">
        <is>
          <t xml:space="preserve"> </t>
        </is>
      </c>
    </row>
    <row r="14">
      <c r="N14" s="1" t="n"/>
      <c r="O14" s="1" t="n"/>
    </row>
    <row r="15">
      <c r="M15" s="1" t="n"/>
      <c r="N15" s="1" t="n"/>
      <c r="O15" s="1" t="n"/>
      <c r="P15" s="1" t="n"/>
    </row>
    <row r="16">
      <c r="M16" s="1" t="n"/>
      <c r="N16" s="1" t="n"/>
      <c r="O16" s="1" t="n"/>
      <c r="P16" s="1" t="n"/>
    </row>
    <row r="17">
      <c r="M17" s="1" t="n"/>
      <c r="N17" s="1" t="n"/>
      <c r="O17" s="1" t="n"/>
      <c r="P17" s="1" t="n"/>
    </row>
    <row r="18">
      <c r="M18" s="1" t="n"/>
      <c r="N18" s="1" t="n"/>
      <c r="O18" s="1" t="n"/>
      <c r="P18" s="1" t="n"/>
    </row>
    <row r="19">
      <c r="M19" s="1" t="n"/>
      <c r="N19" s="1" t="n"/>
      <c r="O19" s="1" t="n"/>
    </row>
    <row r="20">
      <c r="M20" s="1" t="n"/>
      <c r="N20" s="1" t="n"/>
      <c r="O20" s="1" t="n"/>
    </row>
    <row r="21">
      <c r="M21" s="1" t="n"/>
      <c r="N21" s="1" t="n"/>
      <c r="O21" s="1" t="n"/>
    </row>
    <row r="22">
      <c r="M22" s="1" t="n"/>
      <c r="N22" s="1" t="n"/>
      <c r="O22" s="1" t="n"/>
    </row>
    <row r="23">
      <c r="M23" s="1" t="n"/>
      <c r="N23" s="1" t="n"/>
      <c r="O23" s="1" t="n"/>
    </row>
    <row r="24">
      <c r="M24" s="1" t="n"/>
      <c r="N24" s="1" t="n"/>
      <c r="O24" s="1" t="n"/>
    </row>
    <row r="25">
      <c r="M25" s="1" t="n"/>
      <c r="N25" s="1" t="n"/>
      <c r="O25" s="1" t="n"/>
    </row>
    <row r="26">
      <c r="M26" s="1" t="n"/>
      <c r="N26" s="1" t="n"/>
      <c r="O26" s="1" t="n"/>
    </row>
    <row r="27">
      <c r="M27" s="1" t="n"/>
      <c r="N27" s="1" t="n"/>
      <c r="O27" s="1" t="n"/>
    </row>
    <row r="28">
      <c r="M28" s="1" t="n"/>
      <c r="N28" s="1" t="n"/>
      <c r="O28" s="1" t="n"/>
    </row>
  </sheetData>
  <mergeCells count="1">
    <mergeCell ref="A1:B1"/>
  </mergeCells>
  <dataValidations count="3">
    <dataValidation sqref="A5" showDropDown="0" showInputMessage="1" showErrorMessage="1" allowBlank="1" type="list">
      <formula1>$K$4:$K$12</formula1>
    </dataValidation>
    <dataValidation sqref="A4" showDropDown="0" showInputMessage="1" showErrorMessage="1" allowBlank="1" type="list">
      <formula1>$K$3:$K$12</formula1>
    </dataValidation>
    <dataValidation sqref="B4" showDropDown="0" showInputMessage="1" showErrorMessage="1" allowBlank="1" type="list">
      <formula1>$L$3:$L$12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L13"/>
  <sheetViews>
    <sheetView topLeftCell="B1" zoomScaleNormal="100" workbookViewId="0">
      <selection activeCell="E7" sqref="E7"/>
    </sheetView>
  </sheetViews>
  <sheetFormatPr baseColWidth="8" defaultRowHeight="38.25" customHeight="1"/>
  <cols>
    <col width="36" bestFit="1" customWidth="1" min="1" max="1"/>
    <col width="37.140625" bestFit="1" customWidth="1" min="2" max="2"/>
    <col width="9.140625" customWidth="1" min="4" max="6"/>
    <col width="96.28515625" customWidth="1" style="18" min="7" max="7"/>
    <col width="58" customWidth="1" style="7" min="8" max="8"/>
    <col width="20.85546875" customWidth="1" style="12" min="9" max="9"/>
    <col width="22.28515625" customWidth="1" style="12" min="10" max="10"/>
    <col width="10.85546875" customWidth="1" style="12" min="11" max="12"/>
  </cols>
  <sheetData>
    <row r="1" ht="27" customFormat="1" customHeight="1" s="26">
      <c r="A1" s="78" t="inlineStr">
        <is>
          <t>Gully Asset Condition Index Calculator (ACI-GU)</t>
        </is>
      </c>
      <c r="G1" s="25" t="inlineStr">
        <is>
          <t>Functional Defects</t>
        </is>
      </c>
      <c r="H1" s="24" t="inlineStr">
        <is>
          <t>Appearance Defects</t>
        </is>
      </c>
      <c r="I1" s="87" t="inlineStr">
        <is>
          <t>Functional Score (F)</t>
        </is>
      </c>
      <c r="J1" s="87" t="inlineStr">
        <is>
          <t>Appearance Score (A)</t>
        </is>
      </c>
      <c r="K1" s="24" t="inlineStr">
        <is>
          <t>ACI = F + A</t>
        </is>
      </c>
      <c r="L1" s="24" t="inlineStr">
        <is>
          <t>ACI Rating</t>
        </is>
      </c>
    </row>
    <row r="2" ht="38.25" customHeight="1">
      <c r="G2" s="40" t="inlineStr">
        <is>
          <t>Select Functional Defect</t>
        </is>
      </c>
      <c r="H2" s="40" t="inlineStr">
        <is>
          <t>Select Appearance Defects</t>
        </is>
      </c>
      <c r="I2" s="41" t="inlineStr">
        <is>
          <t>Please select Appropriate Functional and Appearance Defects</t>
        </is>
      </c>
      <c r="J2" s="41" t="inlineStr">
        <is>
          <t>Please select Appropriate Functional and Appearance Defects</t>
        </is>
      </c>
      <c r="K2" s="35" t="n"/>
      <c r="L2" s="35" t="n"/>
    </row>
    <row r="3" ht="38.25" customHeight="1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17" t="inlineStr">
        <is>
          <t>No Defect Found</t>
        </is>
      </c>
      <c r="H3" s="19" t="inlineStr">
        <is>
          <t>No Defect Found</t>
        </is>
      </c>
      <c r="I3" s="8" t="n">
        <v>80</v>
      </c>
      <c r="J3" s="8" t="n">
        <v>20</v>
      </c>
      <c r="K3" s="8">
        <f>I3+J3</f>
        <v/>
      </c>
      <c r="L3" s="8">
        <f>IF(AND(K3&gt;=80, K3&lt;=100), "GOOD", IF(AND(K3&gt;40, K3&lt;80), "FAIR", "POOR"))</f>
        <v/>
      </c>
    </row>
    <row r="4" ht="114" customHeight="1">
      <c r="A4" s="45" t="inlineStr">
        <is>
          <t>Gully Cover is not levelled more than 40% with the surface and or deteriorated more than 40% and or completely missing  and or Concrete is deteriorated more than 40%, and or filled with sand more than 40%</t>
        </is>
      </c>
      <c r="B4" s="42" t="inlineStr">
        <is>
          <t>Paint faded or Peeled off 25% Gully cover with rusting</t>
        </is>
      </c>
      <c r="D4" s="7">
        <f>VLOOKUP(A4, G1:I13, 3, FALSE)</f>
        <v/>
      </c>
      <c r="E4" s="7">
        <f>VLOOKUP(B4, H1:J13, 3, FALSE)</f>
        <v/>
      </c>
      <c r="G4" s="17" t="inlineStr">
        <is>
          <t>Gully Cover is 1% (minor) not levelled with the surface and or 1% minor deterioration and or Concrete is minor deteriorated 1%</t>
        </is>
      </c>
      <c r="H4" s="19" t="inlineStr">
        <is>
          <t>Minor Paint faded or Peeled off 1% Gully cover</t>
        </is>
      </c>
      <c r="I4" s="8" t="n">
        <v>72</v>
      </c>
      <c r="J4" s="8" t="n">
        <v>18</v>
      </c>
      <c r="K4" s="8">
        <f>I4+J4</f>
        <v/>
      </c>
      <c r="L4" s="8">
        <f>IF(AND(K4&gt;=80, K4&lt;=100), "GOOD", IF(AND(K4&gt;40, K4&lt;80), "FAIR", "POOR"))</f>
        <v/>
      </c>
    </row>
    <row r="5" ht="38.25" customHeight="1">
      <c r="G5" s="17" t="inlineStr">
        <is>
          <t>Gully Cover is 2% (minor) not levelled with the surface and or 1% minor deterioration and or Concrete is minor deteriorated 2%</t>
        </is>
      </c>
      <c r="H5" s="19" t="inlineStr">
        <is>
          <t>Minor Paint faded or Peeled off 2% Gully cover</t>
        </is>
      </c>
      <c r="I5" s="8" t="n">
        <v>64</v>
      </c>
      <c r="J5" s="8" t="n">
        <v>16</v>
      </c>
      <c r="K5" s="8">
        <f>I5+J5</f>
        <v/>
      </c>
      <c r="L5" s="8">
        <f>IF(AND(K5&gt;=80, K5&lt;=100), "GOOD", IF(AND(K5&gt;40, K5&lt;80), "FAIR", "POOR"))</f>
        <v/>
      </c>
    </row>
    <row r="6" ht="38.25" customHeight="1">
      <c r="G6" s="17" t="inlineStr">
        <is>
          <t>Gully Cover is 5% not levelled with the surface and or 5% minor deterioration and or Concrete is minor deteriorated 5%</t>
        </is>
      </c>
      <c r="H6" s="19" t="inlineStr">
        <is>
          <t>Paint faded or Peeled off 5% Gully cover</t>
        </is>
      </c>
      <c r="I6" s="8" t="n">
        <v>56</v>
      </c>
      <c r="J6" s="8" t="n">
        <v>14</v>
      </c>
      <c r="K6" s="8">
        <f>I6+J6</f>
        <v/>
      </c>
      <c r="L6" s="8">
        <f>IF(AND(K6&gt;=80, K6&lt;=100), "GOOD", IF(AND(K6&gt;40, K6&lt;80), "FAIR", "POOR"))</f>
        <v/>
      </c>
    </row>
    <row r="7" ht="38.25" customHeight="1">
      <c r="A7" s="44" t="inlineStr">
        <is>
          <t>(ACI-GU) Value</t>
        </is>
      </c>
      <c r="B7" s="44">
        <f>IF(D4=0, 0, D4+E4)</f>
        <v/>
      </c>
      <c r="G7" s="17" t="inlineStr">
        <is>
          <t>Gully Cover is 5% (minor) not levelled with the surface and or Concrete is minor deteriorated 5%, and or 5% filled with sand</t>
        </is>
      </c>
      <c r="H7" s="19" t="inlineStr">
        <is>
          <t>Paint faded or Peeled off 10% Gully cover with rusting</t>
        </is>
      </c>
      <c r="I7" s="8" t="n">
        <v>48</v>
      </c>
      <c r="J7" s="8" t="n">
        <v>12</v>
      </c>
      <c r="K7" s="8">
        <f>I7+J7</f>
        <v/>
      </c>
      <c r="L7" s="8">
        <f>IF(AND(K7&gt;=80, K7&lt;=100), "GOOD", IF(AND(K7&gt;40, K7&lt;80), "FAIR", "POOR"))</f>
        <v/>
      </c>
    </row>
    <row r="8" ht="38.25" customHeight="1">
      <c r="A8" s="44" t="inlineStr">
        <is>
          <t>(ACI-GU) Condition</t>
        </is>
      </c>
      <c r="B8" s="44">
        <f>IF(AND(B7&gt;=80, B7&lt;=100), "GOOD", IF(AND(B7&gt;40, B7&lt;80), "FAIR", "POOR"))</f>
        <v/>
      </c>
      <c r="G8" s="17" t="inlineStr">
        <is>
          <t>Gully Cover is 7% (minor) not levelled with the surface and or Concrete is minor deteriorated 7%, and or 7% filled with sand</t>
        </is>
      </c>
      <c r="H8" s="19" t="inlineStr">
        <is>
          <t>Paint faded or Peeled off 15% Gully cover with rusting</t>
        </is>
      </c>
      <c r="I8" s="8" t="n">
        <v>40</v>
      </c>
      <c r="J8" s="8" t="n">
        <v>10</v>
      </c>
      <c r="K8" s="8">
        <f>I8+J8</f>
        <v/>
      </c>
      <c r="L8" s="8">
        <f>IF(AND(K8&gt;=80, K8&lt;=100), "GOOD", IF(AND(K8&gt;40, K8&lt;80), "FAIR", "POOR"))</f>
        <v/>
      </c>
    </row>
    <row r="9" ht="38.25" customHeight="1">
      <c r="G9" s="17" t="inlineStr">
        <is>
          <t>Gully Cover is 10% not levelled with the surface and or deteriorated 10% and or Concrete is deteriorated 10%, and or 10% filled with sand</t>
        </is>
      </c>
      <c r="H9" s="19" t="inlineStr">
        <is>
          <t>Paint faded or Peeled off 20% Gully cover with rusting</t>
        </is>
      </c>
      <c r="I9" s="8" t="n">
        <v>32</v>
      </c>
      <c r="J9" s="8" t="n">
        <v>8</v>
      </c>
      <c r="K9" s="8">
        <f>I9+J9</f>
        <v/>
      </c>
      <c r="L9" s="8">
        <f>IF(AND(K9&gt;=80, K9&lt;=100), "GOOD", IF(AND(K9&gt;40, K9&lt;80), "FAIR", "POOR"))</f>
        <v/>
      </c>
    </row>
    <row r="10" ht="38.25" customHeight="1">
      <c r="G10" s="17" t="inlineStr">
        <is>
          <t>Gully Cover is 20% not levelled with the surface and or deteriorated 20% and or Concrete is deteriorated 20%, and or 20% filled with sand</t>
        </is>
      </c>
      <c r="H10" s="19" t="inlineStr">
        <is>
          <t>Paint faded or Peeled off 25% Gully cover with rusting</t>
        </is>
      </c>
      <c r="I10" s="8" t="n">
        <v>24</v>
      </c>
      <c r="J10" s="8" t="n">
        <v>6</v>
      </c>
      <c r="K10" s="8">
        <f>I10+J10</f>
        <v/>
      </c>
      <c r="L10" s="8">
        <f>IF(AND(K10&gt;=80, K10&lt;=100), "GOOD", IF(AND(K10&gt;40, K10&lt;80), "FAIR", "POOR"))</f>
        <v/>
      </c>
    </row>
    <row r="11" ht="38.25" customHeight="1">
      <c r="G11" s="17" t="inlineStr">
        <is>
          <t>Gully Cover is 30% not levelled with the surface and or deteriorated 30% and or Concrete is deteriorated 30%, and or 30% filled with sand</t>
        </is>
      </c>
      <c r="H11" s="19" t="inlineStr">
        <is>
          <t>Paint faded or Peeled off 30% Gully cover with rusting</t>
        </is>
      </c>
      <c r="I11" s="8" t="n">
        <v>16</v>
      </c>
      <c r="J11" s="8" t="n">
        <v>4</v>
      </c>
      <c r="K11" s="8">
        <f>I11+J11</f>
        <v/>
      </c>
      <c r="L11" s="8">
        <f>IF(AND(K11&gt;=80, K11&lt;=100), "GOOD", IF(AND(K11&gt;40, K11&lt;80), "FAIR", "POOR"))</f>
        <v/>
      </c>
    </row>
    <row r="12" ht="38.25" customHeight="1">
      <c r="G12" s="17" t="inlineStr">
        <is>
          <t>Gully Cover is 40% not levelled with the surface and or deteriorated 40% and or partially missing and or Concrete is deteriorated 40%, and or 40% filled with sand</t>
        </is>
      </c>
      <c r="H12" s="19" t="inlineStr">
        <is>
          <t>Paint faded or Peeled off 40% Gully cover with rusting</t>
        </is>
      </c>
      <c r="I12" s="8" t="n">
        <v>8</v>
      </c>
      <c r="J12" s="8" t="n">
        <v>2</v>
      </c>
      <c r="K12" s="8">
        <f>I12+J12</f>
        <v/>
      </c>
      <c r="L12" s="8">
        <f>IF(AND(K12&gt;=80, K12&lt;=100), "GOOD", IF(AND(K12&gt;40, K12&lt;80), "FAIR", "POOR"))</f>
        <v/>
      </c>
    </row>
    <row r="13" ht="38.25" customHeight="1">
      <c r="G13" s="17" t="inlineStr">
        <is>
          <t>Gully Cover is not levelled more than 40% with the surface and or deteriorated more than 40% and or completely missing  and or Concrete is deteriorated more than 40%, and or filled with sand more than 40%</t>
        </is>
      </c>
      <c r="H13" s="19" t="inlineStr">
        <is>
          <t>Paint faded or Peeled off more than 40% Gully cover with rusting</t>
        </is>
      </c>
      <c r="I13" s="8" t="n">
        <v>0</v>
      </c>
      <c r="J13" s="8" t="n">
        <v>0</v>
      </c>
      <c r="K13" s="8">
        <f>I13+J13</f>
        <v/>
      </c>
      <c r="L13" s="8">
        <f>IF(AND(K13&gt;=80, K13&lt;=100), "GOOD", IF(AND(K13&gt;40, K13&lt;80), "FAIR", "POOR"))</f>
        <v/>
      </c>
    </row>
  </sheetData>
  <autoFilter ref="G1:L13">
    <sortState ref="G2:L13">
      <sortCondition descending="1" ref="K1:K13"/>
    </sortState>
  </autoFilter>
  <mergeCells count="1">
    <mergeCell ref="A1:B1"/>
  </mergeCells>
  <dataValidations count="3">
    <dataValidation sqref="B4" showDropDown="0" showInputMessage="1" showErrorMessage="1" allowBlank="1" type="list">
      <formula1>$H$2:$H$13</formula1>
    </dataValidation>
    <dataValidation sqref="A4" showDropDown="0" showInputMessage="1" showErrorMessage="1" allowBlank="1" type="list">
      <formula1>$G$2:$G$13</formula1>
    </dataValidation>
    <dataValidation sqref="A5" showDropDown="0" showInputMessage="1" showErrorMessage="1" allowBlank="1" type="list">
      <formula1>$K$6:$K$14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L13"/>
  <sheetViews>
    <sheetView topLeftCell="H1" workbookViewId="0">
      <selection activeCell="G2" sqref="G2:J2"/>
    </sheetView>
  </sheetViews>
  <sheetFormatPr baseColWidth="8" defaultRowHeight="15"/>
  <cols>
    <col width="36" bestFit="1" customWidth="1" min="1" max="1"/>
    <col width="37.140625" bestFit="1" customWidth="1" min="2" max="2"/>
    <col width="5.28515625" bestFit="1" customWidth="1" min="4" max="5"/>
    <col width="56.7109375" bestFit="1" customWidth="1" style="18" min="7" max="7"/>
    <col width="63.28515625" bestFit="1" customWidth="1" min="8" max="8"/>
    <col width="47.140625" customWidth="1" min="9" max="9"/>
    <col width="48" customWidth="1" min="10" max="10"/>
    <col width="10" bestFit="1" customWidth="1" min="11" max="11"/>
    <col width="10.28515625" bestFit="1" customWidth="1" min="12" max="12"/>
  </cols>
  <sheetData>
    <row r="1" ht="24" customFormat="1" customHeight="1" s="1">
      <c r="A1" s="78" t="inlineStr">
        <is>
          <t>Bollards Asset Condition Index Calculator (ACI-BL)</t>
        </is>
      </c>
      <c r="C1" s="26" t="n"/>
      <c r="D1" s="26" t="n"/>
      <c r="E1" s="26" t="n"/>
      <c r="F1" s="26" t="n"/>
      <c r="G1" s="87" t="inlineStr">
        <is>
          <t>Functional Score (F)</t>
        </is>
      </c>
      <c r="H1" s="87" t="inlineStr">
        <is>
          <t>Appearance Score (A)</t>
        </is>
      </c>
      <c r="I1" s="6" t="inlineStr">
        <is>
          <t>Functional Rating (F)</t>
        </is>
      </c>
      <c r="J1" s="6" t="inlineStr">
        <is>
          <t>Appearance Rating (A)</t>
        </is>
      </c>
      <c r="K1" s="6" t="inlineStr">
        <is>
          <t>ACI = F + A</t>
        </is>
      </c>
      <c r="L1" s="6" t="inlineStr">
        <is>
          <t>ACI Rating</t>
        </is>
      </c>
    </row>
    <row r="2" ht="30" customHeight="1">
      <c r="G2" s="40" t="inlineStr">
        <is>
          <t>Select Functional Defect</t>
        </is>
      </c>
      <c r="H2" s="40" t="inlineStr">
        <is>
          <t>Select Appearance Defects</t>
        </is>
      </c>
      <c r="I2" s="41" t="inlineStr">
        <is>
          <t>Please select Appropriate Functional and Appearance Defects</t>
        </is>
      </c>
      <c r="J2" s="41" t="inlineStr">
        <is>
          <t>Please select Appropriate Functional and Appearance Defects</t>
        </is>
      </c>
      <c r="K2" s="35" t="n"/>
      <c r="L2" s="35" t="n"/>
    </row>
    <row r="3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28" t="inlineStr">
        <is>
          <t>No Defect Found</t>
        </is>
      </c>
      <c r="H3" s="10" t="inlineStr">
        <is>
          <t>No Defect Found</t>
        </is>
      </c>
      <c r="I3" s="3">
        <f>K3*0.7</f>
        <v/>
      </c>
      <c r="J3" s="3">
        <f>K3*0.3</f>
        <v/>
      </c>
      <c r="K3" s="3" t="n">
        <v>100</v>
      </c>
      <c r="L3" s="8">
        <f>IF(AND(K3&gt;=80, K3&lt;=100), "GOOD", IF(AND(K3&gt;40, K3&lt;80), "FAIR", "POOR"))</f>
        <v/>
      </c>
    </row>
    <row r="4">
      <c r="A4" s="45" t="inlineStr">
        <is>
          <t>No Defect Found</t>
        </is>
      </c>
      <c r="B4" s="42" t="inlineStr">
        <is>
          <t>No Defect Found</t>
        </is>
      </c>
      <c r="D4" s="7">
        <f>VLOOKUP(A4, G1:I13, 3, FALSE)</f>
        <v/>
      </c>
      <c r="E4" s="7">
        <f>VLOOKUP(B4, H1:J13, 3, FALSE)</f>
        <v/>
      </c>
      <c r="G4" s="28" t="inlineStr">
        <is>
          <t xml:space="preserve">Bollard is minor misaligned / damaged less than 5% </t>
        </is>
      </c>
      <c r="H4" s="2" t="inlineStr">
        <is>
          <t>Paint is deteriorated 5%</t>
        </is>
      </c>
      <c r="I4" s="3" t="n">
        <v>63</v>
      </c>
      <c r="J4" s="3">
        <f>K4*0.3</f>
        <v/>
      </c>
      <c r="K4" s="3" t="n">
        <v>90</v>
      </c>
      <c r="L4" s="8">
        <f>IF(AND(K4&gt;=80, K4&lt;=100), "GOOD", IF(AND(K4&gt;40, K4&lt;80), "FAIR", "POOR"))</f>
        <v/>
      </c>
    </row>
    <row r="5">
      <c r="G5" s="28" t="inlineStr">
        <is>
          <t xml:space="preserve">Bollard is minor misaligned / damaged 10% </t>
        </is>
      </c>
      <c r="H5" s="10" t="inlineStr">
        <is>
          <t>Paint is deteriorated 10%</t>
        </is>
      </c>
      <c r="I5" s="3">
        <f>K5*0.7</f>
        <v/>
      </c>
      <c r="J5" s="3">
        <f>K5*0.3</f>
        <v/>
      </c>
      <c r="K5" s="8" t="n">
        <v>80</v>
      </c>
      <c r="L5" s="8">
        <f>IF(AND(K5&gt;=80, K5&lt;=100), "GOOD", IF(AND(K5&gt;40, K5&lt;80), "FAIR", "POOR"))</f>
        <v/>
      </c>
    </row>
    <row r="6">
      <c r="G6" s="28" t="inlineStr">
        <is>
          <t xml:space="preserve">Bollard is misaligned / damaged 15% </t>
        </is>
      </c>
      <c r="H6" s="2" t="inlineStr">
        <is>
          <t>Paint is deteriorated 15%</t>
        </is>
      </c>
      <c r="I6" s="3">
        <f>K6*0.7</f>
        <v/>
      </c>
      <c r="J6" s="3">
        <f>K6*0.3</f>
        <v/>
      </c>
      <c r="K6" s="3" t="n">
        <v>70</v>
      </c>
      <c r="L6" s="8">
        <f>IF(AND(K6&gt;=80, K6&lt;=100), "GOOD", IF(AND(K6&gt;40, K6&lt;80), "FAIR", "POOR"))</f>
        <v/>
      </c>
    </row>
    <row r="7">
      <c r="A7" s="44" t="inlineStr">
        <is>
          <t>(ACI-BL) Value</t>
        </is>
      </c>
      <c r="B7" s="44">
        <f>IF(D4=0, 0, D4+E4)</f>
        <v/>
      </c>
      <c r="G7" s="28" t="inlineStr">
        <is>
          <t xml:space="preserve">Bollard is misaligned / damaged 20% </t>
        </is>
      </c>
      <c r="H7" s="2" t="inlineStr">
        <is>
          <t>Paint is deteriorated 20%</t>
        </is>
      </c>
      <c r="I7" s="3">
        <f>K7*0.7</f>
        <v/>
      </c>
      <c r="J7" s="3">
        <f>K7*0.3</f>
        <v/>
      </c>
      <c r="K7" s="3" t="n">
        <v>60</v>
      </c>
      <c r="L7" s="8">
        <f>IF(AND(K7&gt;=80, K7&lt;=100), "GOOD", IF(AND(K7&gt;40, K7&lt;80), "FAIR", "POOR"))</f>
        <v/>
      </c>
    </row>
    <row r="8">
      <c r="A8" s="44" t="inlineStr">
        <is>
          <t>(ACI-BL) Condition</t>
        </is>
      </c>
      <c r="B8" s="44">
        <f>IF(AND(B7&gt;=80, B7&lt;=100), "GOOD", IF(AND(B7&gt;40, B7&lt;80), "FAIR", "POOR"))</f>
        <v/>
      </c>
      <c r="G8" s="28" t="inlineStr">
        <is>
          <t xml:space="preserve">Bollard is misaligned / damaged 25% </t>
        </is>
      </c>
      <c r="H8" s="2" t="inlineStr">
        <is>
          <t>Paint is deteriorated 25%</t>
        </is>
      </c>
      <c r="I8" s="3">
        <f>K8*0.7</f>
        <v/>
      </c>
      <c r="J8" s="3">
        <f>K8*0.3</f>
        <v/>
      </c>
      <c r="K8" s="3" t="n">
        <v>50</v>
      </c>
      <c r="L8" s="8">
        <f>IF(AND(K8&gt;=80, K8&lt;=100), "GOOD", IF(AND(K8&gt;40, K8&lt;80), "FAIR", "POOR"))</f>
        <v/>
      </c>
    </row>
    <row r="9">
      <c r="G9" s="28" t="inlineStr">
        <is>
          <t xml:space="preserve">Bollard is misaligned / damaged 30% </t>
        </is>
      </c>
      <c r="H9" s="2" t="inlineStr">
        <is>
          <t>Paint is deteriorated 30%</t>
        </is>
      </c>
      <c r="I9" s="3">
        <f>K9*0.7</f>
        <v/>
      </c>
      <c r="J9" s="3">
        <f>K9*0.3</f>
        <v/>
      </c>
      <c r="K9" s="3" t="n">
        <v>40</v>
      </c>
      <c r="L9" s="8">
        <f>IF(AND(K9&gt;=80, K9&lt;=100), "GOOD", IF(AND(K9&gt;40, K9&lt;80), "FAIR", "POOR"))</f>
        <v/>
      </c>
    </row>
    <row r="10">
      <c r="G10" s="28" t="inlineStr">
        <is>
          <t xml:space="preserve">Bollard is misaligned / damaged 35% </t>
        </is>
      </c>
      <c r="H10" s="2" t="inlineStr">
        <is>
          <t>Paint is deteriorated 35%</t>
        </is>
      </c>
      <c r="I10" s="3">
        <f>K10*0.7</f>
        <v/>
      </c>
      <c r="J10" s="3">
        <f>K10*0.3</f>
        <v/>
      </c>
      <c r="K10" s="3" t="n">
        <v>30</v>
      </c>
      <c r="L10" s="8">
        <f>IF(AND(K10&gt;=80, K10&lt;=100), "GOOD", IF(AND(K10&gt;40, K10&lt;80), "FAIR", "POOR"))</f>
        <v/>
      </c>
    </row>
    <row r="11">
      <c r="G11" s="28" t="inlineStr">
        <is>
          <t xml:space="preserve">Bollard is misaligned / damaged 40% </t>
        </is>
      </c>
      <c r="H11" s="2" t="inlineStr">
        <is>
          <t>Paint is deteriorated 40%</t>
        </is>
      </c>
      <c r="I11" s="3">
        <f>K11*0.7</f>
        <v/>
      </c>
      <c r="J11" s="3">
        <f>K11*0.3</f>
        <v/>
      </c>
      <c r="K11" s="3" t="n">
        <v>20</v>
      </c>
      <c r="L11" s="8">
        <f>IF(AND(K11&gt;=80, K11&lt;=100), "GOOD", IF(AND(K11&gt;40, K11&lt;80), "FAIR", "POOR"))</f>
        <v/>
      </c>
    </row>
    <row r="12">
      <c r="G12" s="28" t="inlineStr">
        <is>
          <t xml:space="preserve">Bollard is misaligned / damaged 45% </t>
        </is>
      </c>
      <c r="H12" s="2" t="inlineStr">
        <is>
          <t>Paint is deteriorated more than 45%</t>
        </is>
      </c>
      <c r="I12" s="3">
        <f>K12*0.7</f>
        <v/>
      </c>
      <c r="J12" s="3">
        <f>K12*0.3</f>
        <v/>
      </c>
      <c r="K12" s="3" t="n">
        <v>10</v>
      </c>
      <c r="L12" s="8">
        <f>IF(AND(K12&gt;=80, K12&lt;=100), "GOOD", IF(AND(K12&gt;40, K12&lt;80), "FAIR", "POOR"))</f>
        <v/>
      </c>
    </row>
    <row r="13">
      <c r="G13" s="28" t="inlineStr">
        <is>
          <t>Bollard is damaged more than 45% and or completely missing</t>
        </is>
      </c>
      <c r="H13" s="11" t="inlineStr">
        <is>
          <t>Major Paint faded or peeled off with rusting and or completely missing</t>
        </is>
      </c>
      <c r="I13" s="3">
        <f>K13*0.7</f>
        <v/>
      </c>
      <c r="J13" s="3">
        <f>K13*0.3</f>
        <v/>
      </c>
      <c r="K13" s="3" t="n">
        <v>0</v>
      </c>
      <c r="L13" s="8">
        <f>IF(AND(K13&gt;=80, K13&lt;=100), "GOOD", IF(AND(K13&gt;40, K13&lt;80), "FAIR", "POOR"))</f>
        <v/>
      </c>
    </row>
  </sheetData>
  <autoFilter ref="G1:L1">
    <sortState ref="G2:L12">
      <sortCondition descending="1" ref="K1"/>
    </sortState>
  </autoFilter>
  <mergeCells count="1">
    <mergeCell ref="A1:B1"/>
  </mergeCells>
  <dataValidations count="3">
    <dataValidation sqref="A5" showDropDown="0" showInputMessage="1" showErrorMessage="1" allowBlank="1" type="list">
      <formula1>$K$7:$K$14</formula1>
    </dataValidation>
    <dataValidation sqref="A4" showDropDown="0" showInputMessage="1" showErrorMessage="1" allowBlank="1" type="list">
      <formula1>$G$2:$G$13</formula1>
    </dataValidation>
    <dataValidation sqref="B4" showDropDown="0" showInputMessage="1" showErrorMessage="1" allowBlank="1" type="list">
      <formula1>$H$2:$H$13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L12"/>
  <sheetViews>
    <sheetView workbookViewId="0">
      <selection activeCell="B7" sqref="B7"/>
    </sheetView>
  </sheetViews>
  <sheetFormatPr baseColWidth="8" defaultRowHeight="15"/>
  <cols>
    <col width="36" bestFit="1" customWidth="1" min="1" max="1"/>
    <col width="43" bestFit="1" customWidth="1" min="2" max="2"/>
    <col width="3" bestFit="1" customWidth="1" min="4" max="5"/>
    <col width="42.85546875" bestFit="1" customWidth="1" min="7" max="7"/>
    <col width="31.85546875" bestFit="1" customWidth="1" min="8" max="8"/>
    <col width="23.7109375" customWidth="1" min="9" max="9"/>
    <col width="32.5703125" bestFit="1" customWidth="1" min="10" max="10"/>
    <col width="15.140625" bestFit="1" customWidth="1" min="11" max="11"/>
    <col width="14.85546875" bestFit="1" customWidth="1" min="12" max="12"/>
  </cols>
  <sheetData>
    <row r="1" ht="24" customFormat="1" customHeight="1" s="1">
      <c r="A1" s="78" t="inlineStr">
        <is>
          <t>Drainage Point Asset Condition Index Calculator (ACI-DP)</t>
        </is>
      </c>
      <c r="C1" s="26" t="n"/>
      <c r="D1" s="26" t="n"/>
      <c r="E1" s="26" t="n"/>
      <c r="G1" s="6" t="inlineStr">
        <is>
          <t>Blockage Defects</t>
        </is>
      </c>
      <c r="H1" s="6" t="inlineStr">
        <is>
          <t>Concrete Damage Defects</t>
        </is>
      </c>
      <c r="I1" s="6" t="inlineStr">
        <is>
          <t>Blockage Score (BL)</t>
        </is>
      </c>
      <c r="J1" s="6" t="inlineStr">
        <is>
          <t>Concrete Damage Score (CD)</t>
        </is>
      </c>
      <c r="K1" s="46" t="inlineStr">
        <is>
          <t>ACI = BL + CD</t>
        </is>
      </c>
      <c r="L1" s="6" t="inlineStr">
        <is>
          <t>ACI Rating</t>
        </is>
      </c>
    </row>
    <row r="2">
      <c r="G2" s="40" t="inlineStr">
        <is>
          <t>Select Blockage Defects</t>
        </is>
      </c>
      <c r="H2" s="40" t="inlineStr">
        <is>
          <t>Select Concrete Damage Defects</t>
        </is>
      </c>
      <c r="I2" s="35" t="inlineStr">
        <is>
          <t>Please select Appropriate Blockage and Concrete Damage Defects</t>
        </is>
      </c>
      <c r="J2" s="35" t="inlineStr">
        <is>
          <t>Please select Appropriate Blockage and Concrete Damage Defects</t>
        </is>
      </c>
    </row>
    <row r="3" ht="30.75" customHeight="1">
      <c r="A3" s="87" t="inlineStr">
        <is>
          <t>Select Appropriate Blockage Defects</t>
        </is>
      </c>
      <c r="B3" s="87" t="inlineStr">
        <is>
          <t>Select Appropriate Concrete Damage Defects</t>
        </is>
      </c>
      <c r="D3" s="39" t="inlineStr">
        <is>
          <t>BL</t>
        </is>
      </c>
      <c r="E3" s="39" t="inlineStr">
        <is>
          <t>CD</t>
        </is>
      </c>
      <c r="G3" s="4" t="inlineStr">
        <is>
          <t>No Defect Found</t>
        </is>
      </c>
      <c r="H3" s="4" t="inlineStr">
        <is>
          <t>No Defect Found</t>
        </is>
      </c>
      <c r="I3" s="3" t="n">
        <v>50</v>
      </c>
      <c r="J3" s="3" t="n">
        <v>50</v>
      </c>
      <c r="K3" s="3">
        <f>I3+J3</f>
        <v/>
      </c>
      <c r="L3" s="8">
        <f>IF(AND(K3&gt;=80, K3&lt;=100), "GOOD", IF(AND(K3&gt;40, K3&lt;80), "FAIR", "POOR"))</f>
        <v/>
      </c>
    </row>
    <row r="4" ht="21" customHeight="1">
      <c r="A4" s="45" t="inlineStr">
        <is>
          <t>No Defect Found</t>
        </is>
      </c>
      <c r="B4" s="42" t="inlineStr">
        <is>
          <t>No Defect Found</t>
        </is>
      </c>
      <c r="D4" s="7">
        <f>VLOOKUP(A4, G1:I8, 3, FALSE)</f>
        <v/>
      </c>
      <c r="E4" s="7">
        <f>VLOOKUP(B4, H1:J8, 3, FALSE)</f>
        <v/>
      </c>
      <c r="G4" s="9" t="inlineStr">
        <is>
          <t>Drainage Points with blockage 5%</t>
        </is>
      </c>
      <c r="H4" s="9" t="inlineStr">
        <is>
          <t>Concrete Damage 5%</t>
        </is>
      </c>
      <c r="I4" s="3" t="n">
        <v>40</v>
      </c>
      <c r="J4" s="3" t="n">
        <v>40</v>
      </c>
      <c r="K4" s="3">
        <f>I4+J4</f>
        <v/>
      </c>
      <c r="L4" s="8">
        <f>IF(AND(K4&gt;=80, K4&lt;=100), "GOOD", IF(AND(K4&gt;40, K4&lt;80), "FAIR", "POOR"))</f>
        <v/>
      </c>
    </row>
    <row r="5" ht="21" customHeight="1">
      <c r="G5" s="9" t="inlineStr">
        <is>
          <t>Drainage Points with blockage 10%</t>
        </is>
      </c>
      <c r="H5" s="9" t="inlineStr">
        <is>
          <t>Concrete Damage 10%</t>
        </is>
      </c>
      <c r="I5" s="3" t="n">
        <v>30</v>
      </c>
      <c r="J5" s="3" t="n">
        <v>30</v>
      </c>
      <c r="K5" s="3">
        <f>I5+J5</f>
        <v/>
      </c>
      <c r="L5" s="8">
        <f>IF(AND(K5&gt;=80, K5&lt;=100), "GOOD", IF(AND(K5&gt;40, K5&lt;80), "FAIR", "POOR"))</f>
        <v/>
      </c>
    </row>
    <row r="6" ht="21" customHeight="1">
      <c r="G6" s="9" t="inlineStr">
        <is>
          <t>Drainage Points with blockage 30%</t>
        </is>
      </c>
      <c r="H6" s="9" t="inlineStr">
        <is>
          <t>Concrete Damage 30%</t>
        </is>
      </c>
      <c r="I6" s="3" t="n">
        <v>20</v>
      </c>
      <c r="J6" s="3" t="n">
        <v>20</v>
      </c>
      <c r="K6" s="3">
        <f>I6+J6</f>
        <v/>
      </c>
      <c r="L6" s="8">
        <f>IF(AND(K6&gt;=80, K6&lt;=100), "GOOD", IF(AND(K6&gt;40, K6&lt;80), "FAIR", "POOR"))</f>
        <v/>
      </c>
    </row>
    <row r="7" ht="21" customHeight="1">
      <c r="A7" s="44" t="inlineStr">
        <is>
          <t>(ACI-DP) Value</t>
        </is>
      </c>
      <c r="B7" s="44">
        <f>IF(OR(D4=0, E4=0), 0, D4+E4)</f>
        <v/>
      </c>
      <c r="G7" s="9" t="inlineStr">
        <is>
          <t>Drainage Points with blockage 60%</t>
        </is>
      </c>
      <c r="H7" s="9" t="inlineStr">
        <is>
          <t>Concrete Damage 60%</t>
        </is>
      </c>
      <c r="I7" s="3" t="n">
        <v>10</v>
      </c>
      <c r="J7" s="3" t="n">
        <v>10</v>
      </c>
      <c r="K7" s="3">
        <f>I7+J7</f>
        <v/>
      </c>
      <c r="L7" s="8">
        <f>IF(AND(K7&gt;=80, K7&lt;=100), "GOOD", IF(AND(K7&gt;40, K7&lt;80), "FAIR", "POOR"))</f>
        <v/>
      </c>
    </row>
    <row r="8" ht="21" customHeight="1">
      <c r="A8" s="44" t="inlineStr">
        <is>
          <t>(ACI-DP) Condition</t>
        </is>
      </c>
      <c r="B8" s="44">
        <f>IF(AND(B7&gt;=80, B7&lt;=100), "GOOD", IF(AND(B7&gt;40, B7&lt;80), "FAIR", "POOR"))</f>
        <v/>
      </c>
      <c r="G8" s="9" t="inlineStr">
        <is>
          <t>Drainage Points with blockage more than 60%</t>
        </is>
      </c>
      <c r="H8" s="9" t="inlineStr">
        <is>
          <t>Concrete Damage more than 60%</t>
        </is>
      </c>
      <c r="I8" s="3" t="n">
        <v>0</v>
      </c>
      <c r="J8" s="3" t="n">
        <v>0</v>
      </c>
      <c r="K8" s="3">
        <f>I8+J8</f>
        <v/>
      </c>
      <c r="L8" s="8">
        <f>IF(AND(K8&gt;=80, K8&lt;=100), "GOOD", IF(AND(K8&gt;40, K8&lt;80), "FAIR", "POOR"))</f>
        <v/>
      </c>
    </row>
    <row r="9"/>
    <row r="10"/>
    <row r="11"/>
    <row r="12">
      <c r="J12" t="inlineStr">
        <is>
          <t>``</t>
        </is>
      </c>
    </row>
  </sheetData>
  <autoFilter ref="G1:M1"/>
  <mergeCells count="1">
    <mergeCell ref="A1:B1"/>
  </mergeCells>
  <dataValidations count="3">
    <dataValidation sqref="B4" showDropDown="0" showInputMessage="1" showErrorMessage="1" allowBlank="1" type="list">
      <formula1>$H$2:$H$8</formula1>
    </dataValidation>
    <dataValidation sqref="A4" showDropDown="0" showInputMessage="1" showErrorMessage="1" allowBlank="1" type="list">
      <formula1>$G$2:$G$8</formula1>
    </dataValidation>
    <dataValidation sqref="A5" showDropDown="0" showInputMessage="1" showErrorMessage="1" allowBlank="1" type="list">
      <formula1>$K$8:$K$14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L13"/>
  <sheetViews>
    <sheetView workbookViewId="0">
      <selection activeCell="B7" sqref="B7"/>
    </sheetView>
  </sheetViews>
  <sheetFormatPr baseColWidth="8" defaultRowHeight="15"/>
  <cols>
    <col width="36" bestFit="1" customWidth="1" min="1" max="1"/>
    <col width="37.140625" bestFit="1" customWidth="1" min="2" max="2"/>
    <col width="5.28515625" bestFit="1" customWidth="1" min="4" max="5"/>
    <col width="39.5703125" bestFit="1" customWidth="1" min="7" max="7"/>
    <col width="93.28515625" bestFit="1" customWidth="1" min="8" max="8"/>
    <col width="57.7109375" bestFit="1" customWidth="1" min="9" max="10"/>
    <col width="14.5703125" bestFit="1" customWidth="1" min="11" max="11"/>
    <col width="14.85546875" bestFit="1" customWidth="1" min="12" max="12"/>
  </cols>
  <sheetData>
    <row r="1" ht="46.5" customFormat="1" customHeight="1" s="1">
      <c r="A1" s="79" t="inlineStr">
        <is>
          <t>Crash Cushion and End Terminal  Asset Condition Index Calculator (ACI-CR-ET)</t>
        </is>
      </c>
      <c r="G1" s="6" t="inlineStr">
        <is>
          <t>Functional Defects</t>
        </is>
      </c>
      <c r="H1" s="6" t="inlineStr">
        <is>
          <t>Appearance Defects</t>
        </is>
      </c>
      <c r="I1" s="6" t="inlineStr">
        <is>
          <t>Functional Rating (F)</t>
        </is>
      </c>
      <c r="J1" s="6" t="inlineStr">
        <is>
          <t>Appearance Rating (A)</t>
        </is>
      </c>
      <c r="K1" s="6" t="inlineStr">
        <is>
          <t>ACI = F + A</t>
        </is>
      </c>
      <c r="L1" s="6" t="inlineStr">
        <is>
          <t>ACI Rating</t>
        </is>
      </c>
    </row>
    <row r="2" customFormat="1" s="1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  <c r="K2" s="47" t="n"/>
      <c r="L2" s="47" t="n"/>
    </row>
    <row r="3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4" t="inlineStr">
        <is>
          <t>No Defect Found</t>
        </is>
      </c>
      <c r="H3" s="4" t="inlineStr">
        <is>
          <t>No Defect Found</t>
        </is>
      </c>
      <c r="I3" s="3" t="n">
        <v>80</v>
      </c>
      <c r="J3" s="3" t="n">
        <v>20</v>
      </c>
      <c r="K3" s="3">
        <f>I3+J3</f>
        <v/>
      </c>
      <c r="L3" s="3" t="inlineStr">
        <is>
          <t>GOOD</t>
        </is>
      </c>
    </row>
    <row r="4" ht="30" customHeight="1">
      <c r="A4" s="42" t="inlineStr">
        <is>
          <t xml:space="preserve">Crash Cushion is 30% Damaged </t>
        </is>
      </c>
      <c r="B4" s="42" t="inlineStr">
        <is>
          <t xml:space="preserve">Rusting around 10% or Sand Accumulation around 10% </t>
        </is>
      </c>
      <c r="D4" s="1">
        <f>VLOOKUP(A4, G2:I13, 3,FALSE)</f>
        <v/>
      </c>
      <c r="E4" s="1">
        <f>VLOOKUP(B4, H2:J13, 3, FALSE)</f>
        <v/>
      </c>
      <c r="G4" s="4" t="inlineStr">
        <is>
          <t xml:space="preserve">Crash Cushion is 5% Damaged </t>
        </is>
      </c>
      <c r="H4" s="4" t="inlineStr">
        <is>
          <t>Rusting around 1% or Sand Accumulation around 1% Not Impacting the Movement of Mechanical Parts</t>
        </is>
      </c>
      <c r="I4" s="3" t="n">
        <v>72</v>
      </c>
      <c r="J4" s="3" t="n">
        <v>18</v>
      </c>
      <c r="K4" s="3">
        <f>I4+J4</f>
        <v/>
      </c>
      <c r="L4" s="3" t="inlineStr">
        <is>
          <t>GOOD</t>
        </is>
      </c>
    </row>
    <row r="5">
      <c r="G5" s="4" t="inlineStr">
        <is>
          <t xml:space="preserve">Crash Cushion is 10% Damaged </t>
        </is>
      </c>
      <c r="H5" s="4" t="inlineStr">
        <is>
          <t>Rusting around 3% or Sand Accumulation around 3% Not Impacting the Movement of Mechanical Parts</t>
        </is>
      </c>
      <c r="I5" s="3" t="n">
        <v>64</v>
      </c>
      <c r="J5" s="3" t="n">
        <v>16</v>
      </c>
      <c r="K5" s="3">
        <f>I5+J5</f>
        <v/>
      </c>
      <c r="L5" s="3" t="inlineStr">
        <is>
          <t>GOOD</t>
        </is>
      </c>
    </row>
    <row r="6">
      <c r="G6" s="4" t="inlineStr">
        <is>
          <t xml:space="preserve">Crash Cushion is 15% Damaged </t>
        </is>
      </c>
      <c r="H6" s="4" t="inlineStr">
        <is>
          <t>Rusting around 5% or Sand Accumulation around 5% Not Impacting the Movement of Mechanical Parts</t>
        </is>
      </c>
      <c r="I6" s="3" t="n">
        <v>56</v>
      </c>
      <c r="J6" s="3" t="n">
        <v>14</v>
      </c>
      <c r="K6" s="3">
        <f>I6+J6</f>
        <v/>
      </c>
      <c r="L6" s="3" t="inlineStr">
        <is>
          <t>FAIR</t>
        </is>
      </c>
    </row>
    <row r="7">
      <c r="A7" s="36" t="inlineStr">
        <is>
          <t>(ACI-CR-ET) Value</t>
        </is>
      </c>
      <c r="B7" s="37">
        <f>IF(D4=0, 0, D4+E4)</f>
        <v/>
      </c>
      <c r="G7" s="4" t="inlineStr">
        <is>
          <t xml:space="preserve">Crash Cushion is 20% Damaged </t>
        </is>
      </c>
      <c r="H7" s="4" t="inlineStr">
        <is>
          <t xml:space="preserve">Rusting around 10% or Sand Accumulation around 10% </t>
        </is>
      </c>
      <c r="I7" s="3" t="n">
        <v>48</v>
      </c>
      <c r="J7" s="3" t="n">
        <v>12</v>
      </c>
      <c r="K7" s="3">
        <f>I7+J7</f>
        <v/>
      </c>
      <c r="L7" s="3" t="inlineStr">
        <is>
          <t>FAIR</t>
        </is>
      </c>
    </row>
    <row r="8">
      <c r="A8" s="36" t="inlineStr">
        <is>
          <t>(ACI-CR-ET) Condition</t>
        </is>
      </c>
      <c r="B8" s="37">
        <f>IF(AND(B7&gt;=80, B7&lt;=100), "GOOD", IF(AND(B7&gt;40, B7&lt;80), "FAIR", "POOR"))</f>
        <v/>
      </c>
      <c r="G8" s="4" t="inlineStr">
        <is>
          <t xml:space="preserve">Crash Cushion is 25% Damaged </t>
        </is>
      </c>
      <c r="H8" s="4" t="inlineStr">
        <is>
          <t xml:space="preserve">Rusting around 10% or Sand Accumulation around 15% </t>
        </is>
      </c>
      <c r="I8" s="3" t="n">
        <v>40</v>
      </c>
      <c r="J8" s="3" t="n">
        <v>10</v>
      </c>
      <c r="K8" s="3">
        <f>I8+J8</f>
        <v/>
      </c>
      <c r="L8" s="3" t="inlineStr">
        <is>
          <t>FAIR</t>
        </is>
      </c>
    </row>
    <row r="9">
      <c r="G9" s="4" t="inlineStr">
        <is>
          <t xml:space="preserve">Crash Cushion is 30% Damaged </t>
        </is>
      </c>
      <c r="H9" s="4" t="inlineStr">
        <is>
          <t xml:space="preserve">Rusting around 10% or Sand Accumulation around 20% </t>
        </is>
      </c>
      <c r="I9" s="3" t="n">
        <v>32</v>
      </c>
      <c r="J9" s="3" t="n">
        <v>8</v>
      </c>
      <c r="K9" s="3">
        <f>I9+J9</f>
        <v/>
      </c>
      <c r="L9" s="3" t="inlineStr">
        <is>
          <t>POOR</t>
        </is>
      </c>
    </row>
    <row r="10">
      <c r="G10" s="4" t="inlineStr">
        <is>
          <t xml:space="preserve">Crash Cushion is 35% Damaged </t>
        </is>
      </c>
      <c r="H10" s="4" t="inlineStr">
        <is>
          <t xml:space="preserve">Rusting around 10% or Sand Accumulation around 25% </t>
        </is>
      </c>
      <c r="I10" s="3" t="n">
        <v>24</v>
      </c>
      <c r="J10" s="3" t="n">
        <v>6</v>
      </c>
      <c r="K10" s="3">
        <f>I10+J10</f>
        <v/>
      </c>
      <c r="L10" s="3" t="inlineStr">
        <is>
          <t>POOR</t>
        </is>
      </c>
    </row>
    <row r="11">
      <c r="G11" s="4" t="inlineStr">
        <is>
          <t xml:space="preserve">Crash Cushion is 40% Damaged </t>
        </is>
      </c>
      <c r="H11" s="4" t="inlineStr">
        <is>
          <t xml:space="preserve">Rusting around 10% or Sand Accumulation around 30% </t>
        </is>
      </c>
      <c r="I11" s="3" t="n">
        <v>16</v>
      </c>
      <c r="J11" s="3" t="n">
        <v>4</v>
      </c>
      <c r="K11" s="3">
        <f>I11+J11</f>
        <v/>
      </c>
      <c r="L11" s="3" t="inlineStr">
        <is>
          <t>POOR</t>
        </is>
      </c>
    </row>
    <row r="12">
      <c r="G12" s="4" t="inlineStr">
        <is>
          <t xml:space="preserve">Crash Cushion is 45% Damaged </t>
        </is>
      </c>
      <c r="H12" s="4" t="inlineStr">
        <is>
          <t xml:space="preserve">Rusting around 10% or Sand Accumulation around 35% </t>
        </is>
      </c>
      <c r="I12" s="3" t="n">
        <v>8</v>
      </c>
      <c r="J12" s="3" t="n">
        <v>2</v>
      </c>
      <c r="K12" s="3">
        <f>I12+J12</f>
        <v/>
      </c>
      <c r="L12" s="3" t="inlineStr">
        <is>
          <t>POOR</t>
        </is>
      </c>
    </row>
    <row r="13">
      <c r="G13" s="4" t="inlineStr">
        <is>
          <t xml:space="preserve">Crash Cushion is more than 50% Damaged </t>
        </is>
      </c>
      <c r="H13" s="4" t="inlineStr">
        <is>
          <t xml:space="preserve">Rusting around 10% or Sand Accumulation around more than 35% </t>
        </is>
      </c>
      <c r="I13" s="3" t="n">
        <v>0</v>
      </c>
      <c r="J13" s="3" t="n">
        <v>0</v>
      </c>
      <c r="K13" s="3">
        <f>I13+J13</f>
        <v/>
      </c>
      <c r="L13" s="3" t="inlineStr">
        <is>
          <t>POOR</t>
        </is>
      </c>
    </row>
  </sheetData>
  <autoFilter ref="G1:L1"/>
  <mergeCells count="1">
    <mergeCell ref="A1:B1"/>
  </mergeCells>
  <dataValidations count="3">
    <dataValidation sqref="B4" showDropDown="0" showInputMessage="1" showErrorMessage="1" allowBlank="1" type="list">
      <formula1>$H$2:$H$13</formula1>
    </dataValidation>
    <dataValidation sqref="A4" showDropDown="0" showInputMessage="1" showErrorMessage="1" allowBlank="1" type="list">
      <formula1>$G$2:$G$13</formula1>
    </dataValidation>
    <dataValidation sqref="A5" showDropDown="0" showInputMessage="1" showErrorMessage="1" allowBlank="1" type="list">
      <formula1>$K$4:$K$12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L11"/>
  <sheetViews>
    <sheetView workbookViewId="0">
      <selection activeCell="B4" sqref="B4"/>
    </sheetView>
  </sheetViews>
  <sheetFormatPr baseColWidth="8" defaultRowHeight="15"/>
  <cols>
    <col width="39" customWidth="1" min="1" max="1"/>
    <col width="38.7109375" customWidth="1" min="2" max="2"/>
    <col width="5.28515625" bestFit="1" customWidth="1" min="4" max="5"/>
    <col width="73.85546875" bestFit="1" customWidth="1" min="7" max="7"/>
    <col width="37" bestFit="1" customWidth="1" min="8" max="8"/>
    <col width="19.7109375" bestFit="1" customWidth="1" min="9" max="9"/>
    <col width="21" bestFit="1" customWidth="1" min="10" max="10"/>
    <col width="10" bestFit="1" customWidth="1" min="11" max="11"/>
    <col width="10.28515625" bestFit="1" customWidth="1" min="12" max="12"/>
  </cols>
  <sheetData>
    <row r="1" ht="24" customFormat="1" customHeight="1" s="1">
      <c r="A1" s="78" t="inlineStr">
        <is>
          <t>Curbstone Asset Condition Index Calculator (ACI-CS)</t>
        </is>
      </c>
      <c r="G1" s="6" t="inlineStr">
        <is>
          <t>Functional Defects</t>
        </is>
      </c>
      <c r="H1" s="6" t="inlineStr">
        <is>
          <t>Appearance Defects</t>
        </is>
      </c>
      <c r="I1" s="6" t="inlineStr">
        <is>
          <t>Functional Rating (F)</t>
        </is>
      </c>
      <c r="J1" s="6" t="inlineStr">
        <is>
          <t>Appearance Rating (A)</t>
        </is>
      </c>
      <c r="K1" s="6" t="inlineStr">
        <is>
          <t>ACI = F + A</t>
        </is>
      </c>
      <c r="L1" s="6" t="inlineStr">
        <is>
          <t>ACI Rating</t>
        </is>
      </c>
    </row>
    <row r="2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  <c r="K2" s="35" t="n"/>
      <c r="L2" s="35" t="n"/>
    </row>
    <row r="3" ht="28.5" customFormat="1" customHeight="1" s="1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4" t="inlineStr">
        <is>
          <t>No Defect Found</t>
        </is>
      </c>
      <c r="H3" s="4" t="inlineStr">
        <is>
          <t>No Defect Found</t>
        </is>
      </c>
      <c r="I3" s="3" t="n">
        <v>80</v>
      </c>
      <c r="J3" s="3" t="n">
        <v>20</v>
      </c>
      <c r="K3" s="3">
        <f>I3+J3</f>
        <v/>
      </c>
      <c r="L3" s="3">
        <f>IF(AND(K3&gt;=80, K3&lt;=100), "GOOD", IF(AND(K3&gt;40, K3&lt;80), "FAIR", "POOR"))</f>
        <v/>
      </c>
    </row>
    <row r="4" ht="21" customHeight="1">
      <c r="A4" s="7" t="inlineStr">
        <is>
          <t xml:space="preserve">Curbstones are misaligned or deteriorated 10% </t>
        </is>
      </c>
      <c r="B4" s="7" t="inlineStr">
        <is>
          <t>No Defect Found</t>
        </is>
      </c>
      <c r="D4" s="1">
        <f>VLOOKUP(A4, G1:I11, 3,FALSE)</f>
        <v/>
      </c>
      <c r="E4" s="1">
        <f>VLOOKUP(B4, H1:J11, 3, FALSE)</f>
        <v/>
      </c>
      <c r="G4" s="9" t="inlineStr">
        <is>
          <t xml:space="preserve">Curbstones are misaligned or deteriorated 5% </t>
        </is>
      </c>
      <c r="H4" s="2" t="inlineStr">
        <is>
          <t>Paint Faded or Peeled off 2%</t>
        </is>
      </c>
      <c r="I4" s="3" t="n">
        <v>70</v>
      </c>
      <c r="J4" s="3">
        <f>J3-2</f>
        <v/>
      </c>
      <c r="K4" s="3">
        <f>I4+J4</f>
        <v/>
      </c>
      <c r="L4" s="3">
        <f>IF(AND(K4&gt;=80, K4&lt;=100), "GOOD", IF(AND(K4&gt;40, K4&lt;80), "FAIR", "POOR"))</f>
        <v/>
      </c>
    </row>
    <row r="5" ht="21" customHeight="1">
      <c r="G5" s="9" t="inlineStr">
        <is>
          <t xml:space="preserve">Curbstones are misaligned or deteriorated 10% </t>
        </is>
      </c>
      <c r="H5" s="2" t="inlineStr">
        <is>
          <t>Paint Faded or Peeled off 4%</t>
        </is>
      </c>
      <c r="I5" s="3" t="n">
        <v>60</v>
      </c>
      <c r="J5" s="3">
        <f>J4-2</f>
        <v/>
      </c>
      <c r="K5" s="3">
        <f>I5+J5</f>
        <v/>
      </c>
      <c r="L5" s="3">
        <f>IF(AND(K5&gt;=80, K5&lt;=100), "GOOD", IF(AND(K5&gt;40, K5&lt;80), "FAIR", "POOR"))</f>
        <v/>
      </c>
    </row>
    <row r="6" ht="21" customHeight="1">
      <c r="G6" s="9" t="inlineStr">
        <is>
          <t xml:space="preserve">Curbstones are misaligned or deteriorated 15% </t>
        </is>
      </c>
      <c r="H6" s="2" t="inlineStr">
        <is>
          <t>Paint Faded or Peeled off 6%</t>
        </is>
      </c>
      <c r="I6" s="3" t="n">
        <v>50</v>
      </c>
      <c r="J6" s="3">
        <f>J5-2</f>
        <v/>
      </c>
      <c r="K6" s="3">
        <f>I6+J6</f>
        <v/>
      </c>
      <c r="L6" s="3">
        <f>IF(AND(K6&gt;=80, K6&lt;=100), "GOOD", IF(AND(K6&gt;40, K6&lt;80), "FAIR", "POOR"))</f>
        <v/>
      </c>
    </row>
    <row r="7" ht="21" customHeight="1">
      <c r="A7" s="36" t="inlineStr">
        <is>
          <t>(ACI-CS) Value</t>
        </is>
      </c>
      <c r="B7" s="37">
        <f>IF(D4=0, 0, D4+E4)</f>
        <v/>
      </c>
      <c r="G7" s="9" t="inlineStr">
        <is>
          <t xml:space="preserve">Curbstones are misaligned or deteriorated 20% </t>
        </is>
      </c>
      <c r="H7" s="2" t="inlineStr">
        <is>
          <t>Paint Faded or Peeled off 8%</t>
        </is>
      </c>
      <c r="I7" s="3" t="n">
        <v>40</v>
      </c>
      <c r="J7" s="3">
        <f>J6-2</f>
        <v/>
      </c>
      <c r="K7" s="3">
        <f>I7+J7</f>
        <v/>
      </c>
      <c r="L7" s="3">
        <f>IF(AND(K7&gt;=80, K7&lt;=100), "GOOD", IF(AND(K7&gt;40, K7&lt;80), "FAIR", "POOR"))</f>
        <v/>
      </c>
    </row>
    <row r="8" ht="21" customHeight="1">
      <c r="A8" s="36" t="inlineStr">
        <is>
          <t>(ACI-CS) Condition</t>
        </is>
      </c>
      <c r="B8" s="37">
        <f>IF(AND(B7&gt;=80, B7&lt;=100), "GOOD", IF(AND(B7&gt;40, B7&lt;80), "FAIR", "POOR"))</f>
        <v/>
      </c>
      <c r="G8" s="9" t="inlineStr">
        <is>
          <t xml:space="preserve">Curbstones are misaligned or deteriorated 25% </t>
        </is>
      </c>
      <c r="H8" s="2" t="inlineStr">
        <is>
          <t>Paint Faded or Peeled 10%</t>
        </is>
      </c>
      <c r="I8" s="3" t="n">
        <v>30</v>
      </c>
      <c r="J8" s="3">
        <f>J7-2</f>
        <v/>
      </c>
      <c r="K8" s="3">
        <f>I8+J8</f>
        <v/>
      </c>
      <c r="L8" s="3">
        <f>IF(AND(K8&gt;=80, K8&lt;=100), "GOOD", IF(AND(K8&gt;40, K8&lt;80), "FAIR", "POOR"))</f>
        <v/>
      </c>
    </row>
    <row r="9" ht="21" customHeight="1">
      <c r="G9" s="9" t="inlineStr">
        <is>
          <t xml:space="preserve">Curbstones are misaligned or deteriorated 30% </t>
        </is>
      </c>
      <c r="H9" s="2" t="inlineStr">
        <is>
          <t>Paint Faded or Peeled 12%</t>
        </is>
      </c>
      <c r="I9" s="3" t="n">
        <v>20</v>
      </c>
      <c r="J9" s="3">
        <f>J8-2</f>
        <v/>
      </c>
      <c r="K9" s="3">
        <f>I9+J9</f>
        <v/>
      </c>
      <c r="L9" s="3">
        <f>IF(AND(K9&gt;=80, K9&lt;=100), "GOOD", IF(AND(K9&gt;40, K9&lt;80), "FAIR", "POOR"))</f>
        <v/>
      </c>
    </row>
    <row r="10" ht="21" customHeight="1">
      <c r="G10" s="9" t="inlineStr">
        <is>
          <t xml:space="preserve">Curbstones are misaligned or deteriorated 40% </t>
        </is>
      </c>
      <c r="H10" s="2" t="inlineStr">
        <is>
          <t>Paint Faded or Peeled  20%</t>
        </is>
      </c>
      <c r="I10" s="3" t="n">
        <v>10</v>
      </c>
      <c r="J10" s="3">
        <f>J9-2</f>
        <v/>
      </c>
      <c r="K10" s="3">
        <f>I10+J10</f>
        <v/>
      </c>
      <c r="L10" s="3">
        <f>IF(AND(K10&gt;=80, K10&lt;=100), "GOOD", IF(AND(K10&gt;40, K10&lt;80), "FAIR", "POOR"))</f>
        <v/>
      </c>
    </row>
    <row r="11" ht="21" customHeight="1">
      <c r="G11" s="9" t="inlineStr">
        <is>
          <t>Curbstones are misaligned or deteriorated more than 40% or completely missing</t>
        </is>
      </c>
      <c r="H11" s="2" t="inlineStr">
        <is>
          <t>Paint Faded or Peeled off more than 20%</t>
        </is>
      </c>
      <c r="I11" s="3" t="n">
        <v>0</v>
      </c>
      <c r="J11" s="3" t="n">
        <v>0</v>
      </c>
      <c r="K11" s="3">
        <f>I11+J11</f>
        <v/>
      </c>
      <c r="L11" s="3">
        <f>IF(AND(K11&gt;=80, K11&lt;=100), "GOOD", IF(AND(K11&gt;40, K11&lt;80), "FAIR", "POOR"))</f>
        <v/>
      </c>
    </row>
  </sheetData>
  <mergeCells count="1">
    <mergeCell ref="A1:B1"/>
  </mergeCells>
  <dataValidations count="3">
    <dataValidation sqref="B4" showDropDown="0" showInputMessage="1" showErrorMessage="1" allowBlank="1" type="list">
      <formula1>$H$2:$H$11</formula1>
    </dataValidation>
    <dataValidation sqref="A4" showDropDown="0" showInputMessage="1" showErrorMessage="1" allowBlank="1" type="list">
      <formula1>$G$2:$G$11</formula1>
    </dataValidation>
    <dataValidation sqref="A5" showDropDown="0" showInputMessage="1" showErrorMessage="1" allowBlank="1" type="list">
      <formula1>$K$4:$K$12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T15"/>
  <sheetViews>
    <sheetView zoomScale="130" zoomScaleNormal="130" workbookViewId="0">
      <selection activeCell="A11" sqref="A11"/>
    </sheetView>
  </sheetViews>
  <sheetFormatPr baseColWidth="8" defaultRowHeight="15"/>
  <cols>
    <col width="19.42578125" customWidth="1" min="1" max="1"/>
    <col width="25.28515625" customWidth="1" min="2" max="2"/>
    <col width="20.28515625" bestFit="1" customWidth="1" min="3" max="3"/>
    <col width="20.28515625" customWidth="1" min="4" max="4"/>
    <col hidden="1" width="10" customWidth="1" min="5" max="5"/>
    <col hidden="1" width="5.28515625" customWidth="1" min="6" max="7"/>
    <col hidden="1" min="8" max="8"/>
    <col hidden="1" width="23.85546875" customWidth="1" min="9" max="9"/>
    <col hidden="1" width="34.28515625" customWidth="1" min="10" max="10"/>
    <col hidden="1" width="18.140625" customWidth="1" min="11" max="11"/>
    <col hidden="1" width="18.85546875" customWidth="1" min="12" max="12"/>
    <col hidden="1" width="10.140625" customWidth="1" min="13" max="13"/>
    <col hidden="1" width="10.28515625" customWidth="1" min="14" max="14"/>
    <col hidden="1" min="15" max="16"/>
    <col hidden="1" width="29.28515625" customWidth="1" min="17" max="17"/>
    <col hidden="1" width="21.7109375" customWidth="1" min="18" max="18"/>
    <col hidden="1" width="33.5703125" customWidth="1" min="19" max="19"/>
    <col hidden="1" width="34" customWidth="1" min="20" max="20"/>
  </cols>
  <sheetData>
    <row r="1" ht="24" customFormat="1" customHeight="1" s="1">
      <c r="A1" s="80" t="inlineStr">
        <is>
          <t>Road Marking Asset Condition Index Calculator (ACI-RM)</t>
        </is>
      </c>
      <c r="I1" s="6" t="inlineStr">
        <is>
          <t>Visibility Defects</t>
        </is>
      </c>
      <c r="J1" s="6" t="inlineStr">
        <is>
          <t>Presence Defects</t>
        </is>
      </c>
      <c r="K1" s="6" t="inlineStr">
        <is>
          <t>Visibility Rating (V)</t>
        </is>
      </c>
      <c r="L1" s="6" t="inlineStr">
        <is>
          <t>Presence Rating (P)</t>
        </is>
      </c>
      <c r="M1" s="6" t="inlineStr">
        <is>
          <t>ACI = V+P</t>
        </is>
      </c>
      <c r="N1" s="6" t="inlineStr">
        <is>
          <t>ACI Rating</t>
        </is>
      </c>
    </row>
    <row r="2">
      <c r="I2" s="10" t="inlineStr">
        <is>
          <t>Select Visibility Defects</t>
        </is>
      </c>
      <c r="J2" s="10" t="inlineStr">
        <is>
          <t>Select Presence Defects</t>
        </is>
      </c>
      <c r="K2" s="10" t="inlineStr">
        <is>
          <t>Please select appropriate visibility defects</t>
        </is>
      </c>
      <c r="L2" s="10" t="inlineStr">
        <is>
          <t>Please select appropriate Presence Defects</t>
        </is>
      </c>
      <c r="M2" s="10" t="n"/>
      <c r="N2" s="10" t="n"/>
      <c r="Q2" s="48" t="inlineStr">
        <is>
          <t>Road Type</t>
        </is>
      </c>
      <c r="R2" s="48" t="inlineStr">
        <is>
          <t>Access</t>
        </is>
      </c>
      <c r="S2" s="48" t="inlineStr">
        <is>
          <t>Minimum RL for Whilte Lane Marking</t>
        </is>
      </c>
      <c r="T2" s="48" t="inlineStr">
        <is>
          <t>Minimum RL for Yellow Lane marking</t>
        </is>
      </c>
    </row>
    <row r="3" ht="24.95" customHeight="1">
      <c r="A3" s="81" t="inlineStr">
        <is>
          <t>A. If Retroreflectivity (RL) Data is Available</t>
        </is>
      </c>
      <c r="F3" s="39" t="n"/>
      <c r="G3" s="39" t="n"/>
      <c r="I3" s="19" t="inlineStr">
        <is>
          <t>No Defect Found</t>
        </is>
      </c>
      <c r="J3" s="19" t="inlineStr">
        <is>
          <t>No Defect Found</t>
        </is>
      </c>
      <c r="K3" s="8">
        <f>M3*0.7</f>
        <v/>
      </c>
      <c r="L3" s="8">
        <f>M3*0.3</f>
        <v/>
      </c>
      <c r="M3" s="8" t="n">
        <v>100</v>
      </c>
      <c r="N3" s="8" t="inlineStr">
        <is>
          <t>GOOD</t>
        </is>
      </c>
      <c r="Q3" s="2" t="inlineStr">
        <is>
          <t>E &amp; D Roads with limited access</t>
        </is>
      </c>
      <c r="R3" s="2" t="inlineStr">
        <is>
          <t>Limited</t>
        </is>
      </c>
      <c r="S3" s="3" t="n">
        <v>200</v>
      </c>
      <c r="T3" s="3" t="n">
        <v>150</v>
      </c>
    </row>
    <row r="4">
      <c r="F4" s="1" t="n"/>
      <c r="G4" s="1" t="n"/>
      <c r="I4" s="19" t="inlineStr">
        <is>
          <t xml:space="preserve">Visibility is 98% </t>
        </is>
      </c>
      <c r="J4" s="19" t="inlineStr">
        <is>
          <t xml:space="preserve">Marking is faded / peeled of 5% </t>
        </is>
      </c>
      <c r="K4" s="8">
        <f>M4*0.7</f>
        <v/>
      </c>
      <c r="L4" s="8">
        <f>M4*0.3</f>
        <v/>
      </c>
      <c r="M4" s="8" t="n">
        <v>90</v>
      </c>
      <c r="N4" s="8" t="inlineStr">
        <is>
          <t>GOOD</t>
        </is>
      </c>
      <c r="Q4" s="2" t="inlineStr">
        <is>
          <t>D Roads without limited access</t>
        </is>
      </c>
      <c r="R4" s="2" t="inlineStr">
        <is>
          <t>Without Limited Access</t>
        </is>
      </c>
      <c r="S4" s="3" t="n">
        <v>150</v>
      </c>
      <c r="T4" s="3" t="n">
        <v>100</v>
      </c>
    </row>
    <row r="5" ht="45" customHeight="1">
      <c r="A5" s="84" t="inlineStr">
        <is>
          <t>Select Road Type</t>
        </is>
      </c>
      <c r="B5" s="84" t="inlineStr">
        <is>
          <t>Select Rad Marking Color</t>
        </is>
      </c>
      <c r="C5" s="84" t="inlineStr">
        <is>
          <t>Input Measured Retroreflectivity (RL) Value</t>
        </is>
      </c>
      <c r="D5" s="84" t="inlineStr">
        <is>
          <t>Select Appropriate Presence Defects</t>
        </is>
      </c>
      <c r="E5" s="39" t="inlineStr">
        <is>
          <t>link</t>
        </is>
      </c>
      <c r="F5" s="39" t="inlineStr">
        <is>
          <t>V</t>
        </is>
      </c>
      <c r="G5" s="39" t="inlineStr">
        <is>
          <t>P</t>
        </is>
      </c>
      <c r="I5" s="19" t="inlineStr">
        <is>
          <t xml:space="preserve">Visibility is 95% </t>
        </is>
      </c>
      <c r="J5" s="19" t="inlineStr">
        <is>
          <t xml:space="preserve">Marking is faded / peeled of 10% </t>
        </is>
      </c>
      <c r="K5" s="8">
        <f>M5*0.7</f>
        <v/>
      </c>
      <c r="L5" s="8">
        <f>M5*0.3</f>
        <v/>
      </c>
      <c r="M5" s="8" t="n">
        <v>80</v>
      </c>
      <c r="N5" s="8" t="inlineStr">
        <is>
          <t>GOOD</t>
        </is>
      </c>
    </row>
    <row r="6" ht="30" customHeight="1">
      <c r="A6" s="42" t="inlineStr">
        <is>
          <t>E &amp; D Roads with limited access</t>
        </is>
      </c>
      <c r="B6" s="7" t="inlineStr">
        <is>
          <t>White</t>
        </is>
      </c>
      <c r="C6" s="7" t="n"/>
      <c r="D6" s="53" t="inlineStr">
        <is>
          <t xml:space="preserve">Marking is faded / peeled of 20% </t>
        </is>
      </c>
      <c r="E6">
        <f>CONCATENATE(A6,B6)</f>
        <v/>
      </c>
      <c r="F6" s="7">
        <f>ROUND(70*(C6/VLOOKUP(E6, S6:T10, 2, FALSE)),0)</f>
        <v/>
      </c>
      <c r="G6" s="7">
        <f>VLOOKUP(D6, J1:L13, 3, FALSE)</f>
        <v/>
      </c>
      <c r="I6" s="19" t="inlineStr">
        <is>
          <t xml:space="preserve">Visibility is 90% </t>
        </is>
      </c>
      <c r="J6" s="19" t="inlineStr">
        <is>
          <t xml:space="preserve">Marking is faded / peeled of 15% </t>
        </is>
      </c>
      <c r="K6" s="8">
        <f>M6*0.7</f>
        <v/>
      </c>
      <c r="L6" s="8">
        <f>M6*0.3</f>
        <v/>
      </c>
      <c r="M6" s="8" t="n">
        <v>70</v>
      </c>
      <c r="N6" s="8" t="inlineStr">
        <is>
          <t>FAIR</t>
        </is>
      </c>
      <c r="Q6" s="51" t="inlineStr">
        <is>
          <t>Road Type</t>
        </is>
      </c>
      <c r="R6" s="51" t="inlineStr">
        <is>
          <t>Color</t>
        </is>
      </c>
      <c r="S6" s="1" t="inlineStr">
        <is>
          <t>link</t>
        </is>
      </c>
      <c r="T6" s="51" t="inlineStr">
        <is>
          <t>Minimum RL Values</t>
        </is>
      </c>
    </row>
    <row r="7">
      <c r="I7" s="19" t="inlineStr">
        <is>
          <t xml:space="preserve">Visibility is 85% </t>
        </is>
      </c>
      <c r="J7" s="19" t="inlineStr">
        <is>
          <t xml:space="preserve">Marking is faded / peeled of 20% </t>
        </is>
      </c>
      <c r="K7" s="8">
        <f>M7*0.7</f>
        <v/>
      </c>
      <c r="L7" s="8">
        <f>M7*0.3</f>
        <v/>
      </c>
      <c r="M7" s="8" t="n">
        <v>60</v>
      </c>
      <c r="N7" s="8" t="inlineStr">
        <is>
          <t>FAIR</t>
        </is>
      </c>
      <c r="Q7" s="8" t="inlineStr">
        <is>
          <t>E &amp; D Roads with limited access</t>
        </is>
      </c>
      <c r="R7" s="8" t="inlineStr">
        <is>
          <t>White</t>
        </is>
      </c>
      <c r="S7" s="7">
        <f>CONCATENATE(Q7,R7)</f>
        <v/>
      </c>
      <c r="T7" s="8" t="n">
        <v>200</v>
      </c>
    </row>
    <row r="8" ht="24.95" customHeight="1">
      <c r="A8" s="81" t="inlineStr">
        <is>
          <t xml:space="preserve">B. If Only Visual Inspection Data is Available </t>
        </is>
      </c>
      <c r="B8" s="81" t="n"/>
      <c r="C8" s="81" t="n"/>
      <c r="D8" s="81" t="n"/>
      <c r="I8" s="19" t="inlineStr">
        <is>
          <t xml:space="preserve">Visibility is 75% </t>
        </is>
      </c>
      <c r="J8" s="19" t="inlineStr">
        <is>
          <t xml:space="preserve">Marking is faded / peeled of 40% </t>
        </is>
      </c>
      <c r="K8" s="8">
        <f>M8*0.7</f>
        <v/>
      </c>
      <c r="L8" s="8">
        <f>M8*0.3</f>
        <v/>
      </c>
      <c r="M8" s="8" t="n">
        <v>50</v>
      </c>
      <c r="N8" s="8" t="inlineStr">
        <is>
          <t>FAIR</t>
        </is>
      </c>
      <c r="Q8" s="8" t="inlineStr">
        <is>
          <t>E &amp; D Roads with limited access</t>
        </is>
      </c>
      <c r="R8" s="8" t="inlineStr">
        <is>
          <t>Yellow</t>
        </is>
      </c>
      <c r="S8" s="7">
        <f>CONCATENATE(Q8,R8)</f>
        <v/>
      </c>
      <c r="T8" s="8" t="n">
        <v>150</v>
      </c>
    </row>
    <row r="9" ht="24.95" customHeight="1">
      <c r="I9" s="19" t="inlineStr">
        <is>
          <t xml:space="preserve">Visibility is 70% </t>
        </is>
      </c>
      <c r="J9" s="19" t="inlineStr">
        <is>
          <t xml:space="preserve">Marking is faded / peeled of 60% </t>
        </is>
      </c>
      <c r="K9" s="8">
        <f>M9*0.7</f>
        <v/>
      </c>
      <c r="L9" s="8">
        <f>M9*0.3</f>
        <v/>
      </c>
      <c r="M9" s="8" t="n">
        <v>40</v>
      </c>
      <c r="N9" s="8" t="inlineStr">
        <is>
          <t>POOR</t>
        </is>
      </c>
      <c r="Q9" s="8" t="inlineStr">
        <is>
          <t>D Roads without limited access</t>
        </is>
      </c>
      <c r="R9" s="8" t="inlineStr">
        <is>
          <t>White</t>
        </is>
      </c>
      <c r="S9" s="7">
        <f>CONCATENATE(Q9,R9)</f>
        <v/>
      </c>
      <c r="T9" s="8" t="n">
        <v>150</v>
      </c>
    </row>
    <row r="10" ht="45" customHeight="1">
      <c r="A10" s="84" t="inlineStr">
        <is>
          <t>Select Appropriate Visible Defects Defects</t>
        </is>
      </c>
      <c r="B10" s="84" t="inlineStr">
        <is>
          <t>Select Appropriate Presence Defects</t>
        </is>
      </c>
      <c r="I10" s="19" t="inlineStr">
        <is>
          <t xml:space="preserve">Visibility is 65% </t>
        </is>
      </c>
      <c r="J10" s="19" t="inlineStr">
        <is>
          <t xml:space="preserve">Marking is faded / peeled of 65% </t>
        </is>
      </c>
      <c r="K10" s="8">
        <f>M10*0.7</f>
        <v/>
      </c>
      <c r="L10" s="8">
        <f>M10*0.3</f>
        <v/>
      </c>
      <c r="M10" s="8" t="n">
        <v>30</v>
      </c>
      <c r="N10" s="8" t="inlineStr">
        <is>
          <t>POOR</t>
        </is>
      </c>
      <c r="Q10" s="8" t="inlineStr">
        <is>
          <t>D Roads without limited access</t>
        </is>
      </c>
      <c r="R10" s="8" t="inlineStr">
        <is>
          <t>Yellow</t>
        </is>
      </c>
      <c r="S10" s="7">
        <f>CONCATENATE(Q10,R10)</f>
        <v/>
      </c>
      <c r="T10" s="8" t="n">
        <v>100</v>
      </c>
    </row>
    <row r="11">
      <c r="A11" s="7" t="inlineStr">
        <is>
          <t xml:space="preserve">Visibility is 75% </t>
        </is>
      </c>
      <c r="B11" s="7" t="inlineStr">
        <is>
          <t xml:space="preserve">Marking is faded / peeled of 15% </t>
        </is>
      </c>
      <c r="F11" s="39" t="inlineStr">
        <is>
          <t>V</t>
        </is>
      </c>
      <c r="G11" s="39" t="inlineStr">
        <is>
          <t>P</t>
        </is>
      </c>
      <c r="I11" s="19" t="inlineStr">
        <is>
          <t xml:space="preserve">Visibility is 60% </t>
        </is>
      </c>
      <c r="J11" s="19" t="inlineStr">
        <is>
          <t xml:space="preserve">Marking is faded / peeled of 70% </t>
        </is>
      </c>
      <c r="K11" s="8">
        <f>M11*0.7</f>
        <v/>
      </c>
      <c r="L11" s="8">
        <f>M11*0.3</f>
        <v/>
      </c>
      <c r="M11" s="8" t="n">
        <v>20</v>
      </c>
      <c r="N11" s="8" t="inlineStr">
        <is>
          <t>POOR</t>
        </is>
      </c>
    </row>
    <row r="12">
      <c r="F12" s="7">
        <f>VLOOKUP(A11, I2:K13, 3, FALSE)</f>
        <v/>
      </c>
      <c r="G12" s="7">
        <f>VLOOKUP(B11, J2:L13, 3, FALSE)</f>
        <v/>
      </c>
      <c r="I12" s="19" t="inlineStr">
        <is>
          <t xml:space="preserve">Visibility is 55% </t>
        </is>
      </c>
      <c r="J12" s="19" t="inlineStr">
        <is>
          <t xml:space="preserve">Marking is faded / peeled of 75% </t>
        </is>
      </c>
      <c r="K12" s="8">
        <f>M12*0.7</f>
        <v/>
      </c>
      <c r="L12" s="8">
        <f>M12*0.3</f>
        <v/>
      </c>
      <c r="M12" s="8" t="n">
        <v>10</v>
      </c>
      <c r="N12" s="8" t="inlineStr">
        <is>
          <t>POOR</t>
        </is>
      </c>
    </row>
    <row r="13">
      <c r="I13" s="19" t="inlineStr">
        <is>
          <t xml:space="preserve">Visibility is less than 40% </t>
        </is>
      </c>
      <c r="J13" s="19" t="inlineStr">
        <is>
          <t xml:space="preserve">Marking is more than 80% not visible </t>
        </is>
      </c>
      <c r="K13" s="8">
        <f>M13*0.7</f>
        <v/>
      </c>
      <c r="L13" s="8">
        <f>M13*0.3</f>
        <v/>
      </c>
      <c r="M13" s="8" t="n">
        <v>0</v>
      </c>
      <c r="N13" s="8" t="inlineStr">
        <is>
          <t>POOR</t>
        </is>
      </c>
    </row>
    <row r="14">
      <c r="A14" s="36" t="inlineStr">
        <is>
          <t>(ACI-RM) Value</t>
        </is>
      </c>
      <c r="B14" s="37">
        <f>IF(NOT(ISBLANK(C6)), F6+G6,F12+G12)</f>
        <v/>
      </c>
    </row>
    <row r="15">
      <c r="A15" s="36" t="inlineStr">
        <is>
          <t>(ACI-RM) Condition</t>
        </is>
      </c>
      <c r="B15" s="37">
        <f>IF(AND(B14&gt;=80, B14&lt;=100), "GOOD", IF(AND(B14&gt;40, B14&lt;80), "FAIR", "POOR"))</f>
        <v/>
      </c>
    </row>
  </sheetData>
  <autoFilter ref="I1:N1"/>
  <mergeCells count="2">
    <mergeCell ref="A1:D1"/>
    <mergeCell ref="A3:D3"/>
  </mergeCells>
  <dataValidations count="4">
    <dataValidation sqref="A11" showDropDown="0" showInputMessage="1" showErrorMessage="1" allowBlank="1" type="list">
      <formula1>$I$2:$I$13</formula1>
    </dataValidation>
    <dataValidation sqref="B11 D6" showDropDown="0" showInputMessage="1" showErrorMessage="1" allowBlank="1" type="list">
      <formula1>$J$2:$J$13</formula1>
    </dataValidation>
    <dataValidation sqref="A6" showDropDown="0" showInputMessage="1" showErrorMessage="1" allowBlank="1" type="list">
      <formula1>$Q$3:$Q$4</formula1>
    </dataValidation>
    <dataValidation sqref="B6" showDropDown="0" showInputMessage="1" showErrorMessage="1" allowBlank="1" type="list">
      <formula1>$R$7:$R$8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L11"/>
  <sheetViews>
    <sheetView workbookViewId="0">
      <selection activeCell="B7" sqref="B7"/>
    </sheetView>
  </sheetViews>
  <sheetFormatPr baseColWidth="8" defaultColWidth="9.140625" defaultRowHeight="15"/>
  <cols>
    <col width="43.5703125" bestFit="1" customWidth="1" style="12" min="1" max="1"/>
    <col width="37.140625" bestFit="1" customWidth="1" style="12" min="2" max="2"/>
    <col width="9.140625" customWidth="1" style="12" min="3" max="3"/>
    <col width="5.28515625" bestFit="1" customWidth="1" style="12" min="4" max="4"/>
    <col width="3" bestFit="1" customWidth="1" style="12" min="5" max="5"/>
    <col width="9.140625" customWidth="1" style="12" min="6" max="6"/>
    <col width="34.5703125" bestFit="1" customWidth="1" style="27" min="7" max="7"/>
    <col width="42.140625" bestFit="1" customWidth="1" style="27" min="8" max="8"/>
    <col width="31" customWidth="1" style="12" min="9" max="9"/>
    <col width="33.140625" customWidth="1" style="12" min="10" max="10"/>
    <col width="14.5703125" bestFit="1" customWidth="1" style="12" min="11" max="11"/>
    <col width="14.85546875" bestFit="1" customWidth="1" style="12" min="12" max="12"/>
    <col width="9.140625" customWidth="1" style="12" min="13" max="16384"/>
  </cols>
  <sheetData>
    <row r="1" ht="24" customFormat="1" customHeight="1" s="13">
      <c r="A1" s="78" t="inlineStr">
        <is>
          <t>Guardrail Asset Condition Index Calculator (ACI-GR)</t>
        </is>
      </c>
      <c r="G1" s="6" t="inlineStr">
        <is>
          <t>Functional Defects</t>
        </is>
      </c>
      <c r="H1" s="6" t="inlineStr">
        <is>
          <t>Appearance Defects</t>
        </is>
      </c>
      <c r="I1" s="6" t="inlineStr">
        <is>
          <t>Functional Rating (F)</t>
        </is>
      </c>
      <c r="J1" s="6" t="inlineStr">
        <is>
          <t>Appearance Rating (A)</t>
        </is>
      </c>
      <c r="K1" s="6" t="inlineStr">
        <is>
          <t>ACI = F + A</t>
        </is>
      </c>
      <c r="L1" s="6" t="inlineStr">
        <is>
          <t>ACI Rating</t>
        </is>
      </c>
    </row>
    <row r="2" customFormat="1" s="13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  <c r="K2" s="47" t="n"/>
      <c r="L2" s="47" t="n"/>
    </row>
    <row r="3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17" t="inlineStr">
        <is>
          <t>No Defect Found</t>
        </is>
      </c>
      <c r="H3" s="17" t="inlineStr">
        <is>
          <t>No Defect Found</t>
        </is>
      </c>
      <c r="I3" s="3" t="n">
        <v>80</v>
      </c>
      <c r="J3" s="3" t="n">
        <v>20</v>
      </c>
      <c r="K3" s="8">
        <f>I3+J3</f>
        <v/>
      </c>
      <c r="L3" s="8" t="inlineStr">
        <is>
          <t>GOOD</t>
        </is>
      </c>
    </row>
    <row r="4" ht="30" customHeight="1">
      <c r="A4" s="7" t="inlineStr">
        <is>
          <t>No Defect Found</t>
        </is>
      </c>
      <c r="B4" s="7" t="inlineStr">
        <is>
          <t>No Defect Found</t>
        </is>
      </c>
      <c r="D4" s="1">
        <f>VLOOKUP(A4, G1:I11, 3,FALSE)</f>
        <v/>
      </c>
      <c r="E4" s="1">
        <f>VLOOKUP(B4, H1:J11, 3, FALSE)</f>
        <v/>
      </c>
      <c r="G4" s="17" t="inlineStr">
        <is>
          <t>Guardrail is functional with 5% damage</t>
        </is>
      </c>
      <c r="H4" s="17" t="inlineStr">
        <is>
          <t>Guardrail  protective coating deteriorated 5%</t>
        </is>
      </c>
      <c r="I4" s="3" t="n">
        <v>70</v>
      </c>
      <c r="J4" s="3">
        <f>J3-2</f>
        <v/>
      </c>
      <c r="K4" s="8">
        <f>I4+J4</f>
        <v/>
      </c>
      <c r="L4" s="8" t="inlineStr">
        <is>
          <t>GOOD</t>
        </is>
      </c>
    </row>
    <row r="5" ht="30" customHeight="1">
      <c r="G5" s="17" t="inlineStr">
        <is>
          <t>Guardrail is functional with 10% damage</t>
        </is>
      </c>
      <c r="H5" s="17" t="inlineStr">
        <is>
          <t>Guardrail  protective coating deteriorated 10%</t>
        </is>
      </c>
      <c r="I5" s="3" t="n">
        <v>60</v>
      </c>
      <c r="J5" s="3">
        <f>J4-2</f>
        <v/>
      </c>
      <c r="K5" s="8">
        <f>I5+J5</f>
        <v/>
      </c>
      <c r="L5" s="8" t="inlineStr">
        <is>
          <t>GOOD</t>
        </is>
      </c>
    </row>
    <row r="6" ht="30" customHeight="1">
      <c r="G6" s="17" t="inlineStr">
        <is>
          <t>Guardrail is functional with 15% damage</t>
        </is>
      </c>
      <c r="H6" s="17" t="inlineStr">
        <is>
          <t>Guardrail  protective coating deteriorated or rusted or missing reflectors 15%</t>
        </is>
      </c>
      <c r="I6" s="3" t="n">
        <v>50</v>
      </c>
      <c r="J6" s="3">
        <f>J5-2</f>
        <v/>
      </c>
      <c r="K6" s="8">
        <f>I6+J6</f>
        <v/>
      </c>
      <c r="L6" s="8" t="inlineStr">
        <is>
          <t>FAIR</t>
        </is>
      </c>
    </row>
    <row r="7" ht="30" customHeight="1">
      <c r="A7" s="44" t="inlineStr">
        <is>
          <t>(ACI-GR) Value</t>
        </is>
      </c>
      <c r="B7" s="44">
        <f>IF(D4=0, 0, D4+E4)</f>
        <v/>
      </c>
      <c r="G7" s="17" t="inlineStr">
        <is>
          <t>Guardrail is functional with 20% damage</t>
        </is>
      </c>
      <c r="H7" s="17" t="inlineStr">
        <is>
          <t>Guardrail  protective coating deteriorated or rusted or missing reflectors 20%</t>
        </is>
      </c>
      <c r="I7" s="3" t="n">
        <v>40</v>
      </c>
      <c r="J7" s="3">
        <f>J6-2</f>
        <v/>
      </c>
      <c r="K7" s="8">
        <f>I7+J7</f>
        <v/>
      </c>
      <c r="L7" s="8" t="inlineStr">
        <is>
          <t>FAIR</t>
        </is>
      </c>
    </row>
    <row r="8" ht="30" customHeight="1">
      <c r="A8" s="44" t="inlineStr">
        <is>
          <t>(ACI-GR) Condition</t>
        </is>
      </c>
      <c r="B8" s="44">
        <f>IF(AND(B7&gt;=80, B7&lt;=100), "GOOD", IF(AND(B7&gt;40, B7&lt;80), "FAIR", "POOR"))</f>
        <v/>
      </c>
      <c r="G8" s="17" t="inlineStr">
        <is>
          <t>Guardrail is having functionality issues with 25% damage</t>
        </is>
      </c>
      <c r="H8" s="17" t="inlineStr">
        <is>
          <t>Guardrail  protective coating deteriorated or rusted or missing reflectors 25%</t>
        </is>
      </c>
      <c r="I8" s="3" t="n">
        <v>30</v>
      </c>
      <c r="J8" s="3">
        <f>J7-2</f>
        <v/>
      </c>
      <c r="K8" s="8">
        <f>I8+J8</f>
        <v/>
      </c>
      <c r="L8" s="8" t="inlineStr">
        <is>
          <t>FAIR</t>
        </is>
      </c>
    </row>
    <row r="9" ht="30" customHeight="1">
      <c r="G9" s="17" t="inlineStr">
        <is>
          <t>Guardrail is having functionality issues with 30% damage</t>
        </is>
      </c>
      <c r="H9" s="17" t="inlineStr">
        <is>
          <t>Guardrail  protective coating deteriorated or rusted or missing reflectors 30%</t>
        </is>
      </c>
      <c r="I9" s="3" t="n">
        <v>20</v>
      </c>
      <c r="J9" s="3">
        <f>J8-2</f>
        <v/>
      </c>
      <c r="K9" s="8">
        <f>I9+J9</f>
        <v/>
      </c>
      <c r="L9" s="8" t="inlineStr">
        <is>
          <t>POOR</t>
        </is>
      </c>
    </row>
    <row r="10" ht="30" customHeight="1">
      <c r="G10" s="17" t="inlineStr">
        <is>
          <t>Guardrail is having functionality issues with 40% damage</t>
        </is>
      </c>
      <c r="H10" s="17" t="inlineStr">
        <is>
          <t>Guardrail  protective coating deteriorated or rusted or missing reflectors 40%</t>
        </is>
      </c>
      <c r="I10" s="3" t="n">
        <v>10</v>
      </c>
      <c r="J10" s="3">
        <f>J9-2</f>
        <v/>
      </c>
      <c r="K10" s="8">
        <f>I10+J10</f>
        <v/>
      </c>
      <c r="L10" s="8" t="inlineStr">
        <is>
          <t>POOR</t>
        </is>
      </c>
    </row>
    <row r="11" ht="30" customHeight="1">
      <c r="G11" s="17" t="inlineStr">
        <is>
          <t>Guardrail is no longer functional with damages more than 40%</t>
        </is>
      </c>
      <c r="H11" s="17" t="inlineStr">
        <is>
          <t>Guardrail  protective coating deteriorated or rusted or missing reflectors more than 40%</t>
        </is>
      </c>
      <c r="I11" s="3" t="n">
        <v>0</v>
      </c>
      <c r="J11" s="3" t="n">
        <v>0</v>
      </c>
      <c r="K11" s="8">
        <f>I11+J11</f>
        <v/>
      </c>
      <c r="L11" s="8" t="inlineStr">
        <is>
          <t>POOR</t>
        </is>
      </c>
    </row>
  </sheetData>
  <autoFilter ref="G1:L1"/>
  <mergeCells count="1">
    <mergeCell ref="A1:B1"/>
  </mergeCells>
  <dataValidations count="3">
    <dataValidation sqref="A5" showDropDown="0" showInputMessage="1" showErrorMessage="1" allowBlank="1" type="list">
      <formula1>$K$4:$K$12</formula1>
    </dataValidation>
    <dataValidation sqref="A4" showDropDown="0" showInputMessage="1" showErrorMessage="1" allowBlank="1" type="list">
      <formula1>$G$2:$G$11</formula1>
    </dataValidation>
    <dataValidation sqref="B4" showDropDown="0" showInputMessage="1" showErrorMessage="1" allowBlank="1" type="list">
      <formula1>$H$2:$H$11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L15"/>
  <sheetViews>
    <sheetView workbookViewId="0">
      <selection activeCell="A1" sqref="A1:E8"/>
    </sheetView>
  </sheetViews>
  <sheetFormatPr baseColWidth="8" defaultRowHeight="15"/>
  <cols>
    <col width="36" bestFit="1" customWidth="1" min="1" max="1"/>
    <col width="39.42578125" customWidth="1" min="2" max="2"/>
    <col width="3" bestFit="1" customWidth="1" min="4" max="5"/>
    <col width="48.28515625" bestFit="1" customWidth="1" min="7" max="7"/>
    <col width="48.5703125" bestFit="1" customWidth="1" min="8" max="8"/>
    <col width="57.7109375" bestFit="1" customWidth="1" min="9" max="10"/>
    <col width="14.5703125" bestFit="1" customWidth="1" min="11" max="11"/>
    <col width="14.85546875" bestFit="1" customWidth="1" min="12" max="12"/>
  </cols>
  <sheetData>
    <row r="1" ht="24" customFormat="1" customHeight="1" s="1">
      <c r="A1" s="78" t="inlineStr">
        <is>
          <t>Fence Asset Condition Index Calculator (ACI-FE)</t>
        </is>
      </c>
      <c r="G1" s="6" t="inlineStr">
        <is>
          <t>Functional Defects</t>
        </is>
      </c>
      <c r="H1" s="6" t="inlineStr">
        <is>
          <t>Appearance Defects</t>
        </is>
      </c>
      <c r="I1" s="6" t="inlineStr">
        <is>
          <t>Functional Rating (F)</t>
        </is>
      </c>
      <c r="J1" s="6" t="inlineStr">
        <is>
          <t>Appearance Rating (A)</t>
        </is>
      </c>
      <c r="K1" s="6" t="inlineStr">
        <is>
          <t>ACI = F + A</t>
        </is>
      </c>
      <c r="L1" s="6" t="inlineStr">
        <is>
          <t>ACI Rating</t>
        </is>
      </c>
    </row>
    <row r="2" customFormat="1" s="1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  <c r="K2" s="47" t="n"/>
      <c r="L2" s="47" t="n"/>
    </row>
    <row r="3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10" t="inlineStr">
        <is>
          <t>No Defect Found</t>
        </is>
      </c>
      <c r="H3" s="10" t="inlineStr">
        <is>
          <t>No Defect Found</t>
        </is>
      </c>
      <c r="I3" s="3" t="n">
        <v>80</v>
      </c>
      <c r="J3" s="3" t="n">
        <v>20</v>
      </c>
      <c r="K3" s="3">
        <f>I3+J3</f>
        <v/>
      </c>
      <c r="L3" s="10" t="inlineStr">
        <is>
          <t>GOOD</t>
        </is>
      </c>
    </row>
    <row r="4" ht="30" customHeight="1">
      <c r="A4" s="42" t="inlineStr">
        <is>
          <t xml:space="preserve">Fence severely misaligned / damaged more that 20% </t>
        </is>
      </c>
      <c r="B4" s="42" t="inlineStr">
        <is>
          <t>Paint faded or peeled off / Rusting 14%</t>
        </is>
      </c>
      <c r="D4" s="1">
        <f>VLOOKUP(A4, G1:I13, 3,FALSE)</f>
        <v/>
      </c>
      <c r="E4" s="1">
        <f>VLOOKUP(B4, H1:J13, 3, FALSE)</f>
        <v/>
      </c>
      <c r="G4" s="2" t="inlineStr">
        <is>
          <t xml:space="preserve">Fence misaligned / damaged 2% </t>
        </is>
      </c>
      <c r="H4" s="2" t="inlineStr">
        <is>
          <t>Paint faded or peeled off / Rusting 2%</t>
        </is>
      </c>
      <c r="I4" s="3" t="n">
        <v>72</v>
      </c>
      <c r="J4" s="3" t="n">
        <v>18</v>
      </c>
      <c r="K4" s="3">
        <f>I4+J4</f>
        <v/>
      </c>
      <c r="L4" s="10" t="inlineStr">
        <is>
          <t>GOOD</t>
        </is>
      </c>
    </row>
    <row r="5">
      <c r="G5" s="2" t="inlineStr">
        <is>
          <t xml:space="preserve">Fence misaligned / damaged 4% </t>
        </is>
      </c>
      <c r="H5" s="2" t="inlineStr">
        <is>
          <t>Paint faded or peeled off / Rusting 4%</t>
        </is>
      </c>
      <c r="I5" s="8" t="n">
        <v>64</v>
      </c>
      <c r="J5" s="8" t="n">
        <v>16</v>
      </c>
      <c r="K5" s="8">
        <f>I5+J5</f>
        <v/>
      </c>
      <c r="L5" s="10" t="inlineStr">
        <is>
          <t>GOOD</t>
        </is>
      </c>
    </row>
    <row r="6">
      <c r="G6" s="2" t="inlineStr">
        <is>
          <t xml:space="preserve">Fence misaligned / damaged 6% </t>
        </is>
      </c>
      <c r="H6" s="2" t="inlineStr">
        <is>
          <t>Paint faded or peeled off / Rusting 6%</t>
        </is>
      </c>
      <c r="I6" s="3" t="n">
        <v>56</v>
      </c>
      <c r="J6" s="3" t="n">
        <v>14</v>
      </c>
      <c r="K6" s="3">
        <f>I6+J6</f>
        <v/>
      </c>
      <c r="L6" s="2" t="inlineStr">
        <is>
          <t>FAIR</t>
        </is>
      </c>
    </row>
    <row r="7">
      <c r="A7" s="44" t="inlineStr">
        <is>
          <t>(ACI-FE) Value</t>
        </is>
      </c>
      <c r="B7" s="44">
        <f>IF(D4=0, 0, D4+E4)</f>
        <v/>
      </c>
      <c r="G7" s="2" t="inlineStr">
        <is>
          <t xml:space="preserve">Fence misaligned / damaged 8% </t>
        </is>
      </c>
      <c r="H7" s="2" t="inlineStr">
        <is>
          <t>Paint faded or peeled off / Rusting 8%</t>
        </is>
      </c>
      <c r="I7" s="3" t="n">
        <v>48</v>
      </c>
      <c r="J7" s="3" t="n">
        <v>12</v>
      </c>
      <c r="K7" s="3">
        <f>I7+J7</f>
        <v/>
      </c>
      <c r="L7" s="2" t="inlineStr">
        <is>
          <t>FAIR</t>
        </is>
      </c>
    </row>
    <row r="8">
      <c r="A8" s="44" t="inlineStr">
        <is>
          <t>(ACI-FE) Condition</t>
        </is>
      </c>
      <c r="B8" s="44">
        <f>IF(AND(B7&gt;=80, B7&lt;=100), "GOOD", IF(AND(B7&gt;40, B7&lt;80), "FAIR", "POOR"))</f>
        <v/>
      </c>
      <c r="G8" s="2" t="inlineStr">
        <is>
          <t xml:space="preserve">Fence misaligned / damaged 10% </t>
        </is>
      </c>
      <c r="H8" s="2" t="inlineStr">
        <is>
          <t>Paint faded or peeled off / Rusting 10%</t>
        </is>
      </c>
      <c r="I8" s="3" t="n">
        <v>40</v>
      </c>
      <c r="J8" s="3" t="n">
        <v>10</v>
      </c>
      <c r="K8" s="3">
        <f>I8+J8</f>
        <v/>
      </c>
      <c r="L8" s="2" t="inlineStr">
        <is>
          <t>FAIR</t>
        </is>
      </c>
    </row>
    <row r="9">
      <c r="G9" s="2" t="inlineStr">
        <is>
          <t xml:space="preserve">Fence misaligned / damaged 12% </t>
        </is>
      </c>
      <c r="H9" s="2" t="inlineStr">
        <is>
          <t>Paint faded or peeled off / Rusting 12%</t>
        </is>
      </c>
      <c r="I9" s="3" t="n">
        <v>32</v>
      </c>
      <c r="J9" s="3" t="n">
        <v>8</v>
      </c>
      <c r="K9" s="3">
        <f>I9+J9</f>
        <v/>
      </c>
      <c r="L9" s="2" t="inlineStr">
        <is>
          <t>POOR</t>
        </is>
      </c>
    </row>
    <row r="10">
      <c r="G10" s="2" t="inlineStr">
        <is>
          <t xml:space="preserve">Fence misaligned / damaged 14% </t>
        </is>
      </c>
      <c r="H10" s="2" t="inlineStr">
        <is>
          <t>Paint faded or peeled off / Rusting 14%</t>
        </is>
      </c>
      <c r="I10" s="3" t="n">
        <v>24</v>
      </c>
      <c r="J10" s="3" t="n">
        <v>6</v>
      </c>
      <c r="K10" s="3">
        <f>I10+J10</f>
        <v/>
      </c>
      <c r="L10" s="2" t="inlineStr">
        <is>
          <t>POOR</t>
        </is>
      </c>
    </row>
    <row r="11">
      <c r="G11" s="2" t="inlineStr">
        <is>
          <t xml:space="preserve">Fence misaligned / damaged 16% </t>
        </is>
      </c>
      <c r="H11" s="2" t="inlineStr">
        <is>
          <t>Paint faded or peeled off / Rusting 16%</t>
        </is>
      </c>
      <c r="I11" s="3" t="n">
        <v>16</v>
      </c>
      <c r="J11" s="3" t="n">
        <v>4</v>
      </c>
      <c r="K11" s="3">
        <f>I11+J11</f>
        <v/>
      </c>
      <c r="L11" s="2" t="inlineStr">
        <is>
          <t>POOR</t>
        </is>
      </c>
    </row>
    <row r="12">
      <c r="G12" s="2" t="inlineStr">
        <is>
          <t xml:space="preserve">Fence misaligned / damaged 18% </t>
        </is>
      </c>
      <c r="H12" s="2" t="inlineStr">
        <is>
          <t>Paint faded or peeled off / Rusting 18%</t>
        </is>
      </c>
      <c r="I12" s="3" t="n">
        <v>8</v>
      </c>
      <c r="J12" s="3" t="n">
        <v>2</v>
      </c>
      <c r="K12" s="3">
        <f>I12+J12</f>
        <v/>
      </c>
      <c r="L12" s="2" t="inlineStr">
        <is>
          <t>POOR</t>
        </is>
      </c>
    </row>
    <row r="13">
      <c r="G13" s="2" t="inlineStr">
        <is>
          <t xml:space="preserve">Fence severely misaligned / damaged more that 20% </t>
        </is>
      </c>
      <c r="H13" s="2" t="inlineStr">
        <is>
          <t>Major Paint faded or peeled off / Rusting 20% or more</t>
        </is>
      </c>
      <c r="I13" s="3">
        <f>K13*0.6</f>
        <v/>
      </c>
      <c r="J13" s="3" t="n">
        <v>0</v>
      </c>
      <c r="K13" s="3" t="n">
        <v>0</v>
      </c>
      <c r="L13" s="2" t="inlineStr">
        <is>
          <t>POOR</t>
        </is>
      </c>
    </row>
    <row r="14">
      <c r="I14" s="1" t="n"/>
      <c r="J14" s="1" t="n"/>
      <c r="K14" s="1" t="n"/>
    </row>
    <row r="15">
      <c r="I15" s="1" t="n"/>
      <c r="J15" s="1" t="n"/>
      <c r="K15" s="1" t="n"/>
    </row>
  </sheetData>
  <autoFilter ref="G1:L1">
    <sortState ref="G2:L12">
      <sortCondition descending="1" ref="K1"/>
    </sortState>
  </autoFilter>
  <mergeCells count="1">
    <mergeCell ref="A1:B1"/>
  </mergeCells>
  <dataValidations count="3">
    <dataValidation sqref="B4" showDropDown="0" showInputMessage="1" showErrorMessage="1" allowBlank="1" type="list">
      <formula1>$H$2:$H$13</formula1>
    </dataValidation>
    <dataValidation sqref="A4" showDropDown="0" showInputMessage="1" showErrorMessage="1" allowBlank="1" type="list">
      <formula1>$G$2:$G$13</formula1>
    </dataValidation>
    <dataValidation sqref="A5" showDropDown="0" showInputMessage="1" showErrorMessage="1" allowBlank="1" type="list">
      <formula1>$K$4:$K$12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AO29"/>
  <sheetViews>
    <sheetView workbookViewId="0">
      <selection activeCell="B15" sqref="B15"/>
    </sheetView>
  </sheetViews>
  <sheetFormatPr baseColWidth="8" defaultRowHeight="15"/>
  <cols>
    <col width="19.140625" customWidth="1" min="1" max="1"/>
    <col width="18.7109375" customWidth="1" min="2" max="2"/>
    <col width="19.85546875" customWidth="1" min="3" max="3"/>
    <col width="27.28515625" customWidth="1" min="4" max="5"/>
    <col width="48.42578125" bestFit="1" customWidth="1" min="12" max="12"/>
    <col width="47.42578125" bestFit="1" customWidth="1" min="13" max="13"/>
    <col width="68.7109375" bestFit="1" customWidth="1" min="14" max="14"/>
    <col width="88.85546875" bestFit="1" customWidth="1" min="15" max="15"/>
    <col width="20.42578125" bestFit="1" customWidth="1" min="16" max="16"/>
    <col width="19.140625" bestFit="1" customWidth="1" min="17" max="17"/>
    <col width="19.7109375" bestFit="1" customWidth="1" min="18" max="18"/>
    <col width="18.85546875" bestFit="1" customWidth="1" min="19" max="19"/>
    <col width="10" bestFit="1" customWidth="1" min="20" max="20"/>
    <col width="10.28515625" bestFit="1" customWidth="1" min="21" max="21"/>
    <col width="18.28515625" bestFit="1" customWidth="1" min="23" max="23"/>
    <col width="15" bestFit="1" customWidth="1" min="24" max="24"/>
    <col width="7.42578125" bestFit="1" customWidth="1" min="25" max="25"/>
    <col width="13.140625" bestFit="1" customWidth="1" min="26" max="26"/>
    <col width="9" bestFit="1" customWidth="1" min="27" max="27"/>
    <col width="6.42578125" bestFit="1" customWidth="1" min="28" max="28"/>
    <col width="4.42578125" bestFit="1" customWidth="1" min="29" max="29"/>
    <col width="5" bestFit="1" customWidth="1" min="30" max="30"/>
    <col width="6.85546875" bestFit="1" customWidth="1" min="31" max="31"/>
    <col width="18.28515625" bestFit="1" customWidth="1" min="33" max="33"/>
    <col width="15" bestFit="1" customWidth="1" min="34" max="34"/>
    <col width="6.5703125" bestFit="1" customWidth="1" min="35" max="35"/>
    <col width="7.140625" bestFit="1" customWidth="1" min="36" max="36"/>
    <col width="7.7109375" bestFit="1" customWidth="1" min="37" max="37"/>
    <col width="6.42578125" bestFit="1" customWidth="1" min="38" max="38"/>
    <col width="4.42578125" bestFit="1" customWidth="1" min="39" max="39"/>
    <col width="5" bestFit="1" customWidth="1" min="40" max="40"/>
    <col width="6.85546875" bestFit="1" customWidth="1" min="41" max="41"/>
  </cols>
  <sheetData>
    <row r="1" ht="24" customFormat="1" customHeight="1" s="12">
      <c r="A1" s="80" t="inlineStr">
        <is>
          <t>Road Gantry Asset Condition Index Calculator (ACI-RG)</t>
        </is>
      </c>
      <c r="E1" s="80" t="n"/>
      <c r="L1" s="87" t="inlineStr">
        <is>
          <t xml:space="preserve">Founation Condition (ACI-RG-F) </t>
        </is>
      </c>
      <c r="M1" s="87" t="inlineStr">
        <is>
          <t xml:space="preserve">Gantry Sign Condition (ACI-RG-GS) </t>
        </is>
      </c>
      <c r="N1" s="98" t="n"/>
      <c r="O1" s="87" t="inlineStr">
        <is>
          <t xml:space="preserve">Structure Condition (ACI-RG-S) </t>
        </is>
      </c>
      <c r="P1" s="87" t="inlineStr">
        <is>
          <t>Foundation Rating (F)</t>
        </is>
      </c>
      <c r="Q1" s="87" t="inlineStr">
        <is>
          <t>Gantry Sign Score</t>
        </is>
      </c>
      <c r="R1" s="98" t="n"/>
      <c r="S1" s="87" t="inlineStr">
        <is>
          <t>Structure Rating (S)</t>
        </is>
      </c>
      <c r="T1" s="87" t="inlineStr">
        <is>
          <t>ACI = F + S</t>
        </is>
      </c>
      <c r="U1" s="87" t="inlineStr">
        <is>
          <t>ACI Rating</t>
        </is>
      </c>
      <c r="W1" s="54" t="inlineStr">
        <is>
          <t>Observation Angle</t>
        </is>
      </c>
      <c r="X1" s="54" t="inlineStr">
        <is>
          <t>Entrance Angle</t>
        </is>
      </c>
      <c r="Y1" s="54" t="inlineStr">
        <is>
          <t>Color</t>
        </is>
      </c>
      <c r="Z1" s="54" t="inlineStr">
        <is>
          <t>Link</t>
        </is>
      </c>
      <c r="AA1" s="56" t="inlineStr">
        <is>
          <t>RL Value</t>
        </is>
      </c>
    </row>
    <row r="2" ht="21" customFormat="1" customHeight="1" s="7">
      <c r="L2" s="99" t="n"/>
      <c r="M2" s="87" t="inlineStr">
        <is>
          <t>Visibility</t>
        </is>
      </c>
      <c r="N2" s="87" t="inlineStr">
        <is>
          <t>Presence</t>
        </is>
      </c>
      <c r="O2" s="99" t="n"/>
      <c r="P2" s="99" t="n"/>
      <c r="Q2" s="87" t="inlineStr">
        <is>
          <t>Visibility Score</t>
        </is>
      </c>
      <c r="R2" s="87" t="inlineStr">
        <is>
          <t>Presence Score</t>
        </is>
      </c>
      <c r="S2" s="99" t="n"/>
      <c r="T2" s="99" t="n"/>
      <c r="U2" s="99" t="n"/>
      <c r="W2" s="55" t="n">
        <v>0.2</v>
      </c>
      <c r="X2" s="55" t="n">
        <v>-40</v>
      </c>
      <c r="Y2" s="57" t="inlineStr">
        <is>
          <t>White</t>
        </is>
      </c>
      <c r="Z2" s="2">
        <f>CONCATENATE(W2,X2,Y2)</f>
        <v/>
      </c>
      <c r="AA2" s="55" t="n">
        <v>360</v>
      </c>
      <c r="AG2" s="54" t="inlineStr">
        <is>
          <t>Observation Angle</t>
        </is>
      </c>
      <c r="AH2" s="54" t="inlineStr">
        <is>
          <t>Entrance Angle</t>
        </is>
      </c>
      <c r="AI2" s="54" t="inlineStr">
        <is>
          <t>White</t>
        </is>
      </c>
      <c r="AJ2" s="54" t="inlineStr">
        <is>
          <t>Yellow</t>
        </is>
      </c>
      <c r="AK2" s="54" t="inlineStr">
        <is>
          <t>Orange</t>
        </is>
      </c>
      <c r="AL2" s="54" t="inlineStr">
        <is>
          <t>Green</t>
        </is>
      </c>
      <c r="AM2" s="54" t="inlineStr">
        <is>
          <t>Red</t>
        </is>
      </c>
      <c r="AN2" s="54" t="inlineStr">
        <is>
          <t>Blue</t>
        </is>
      </c>
      <c r="AO2" s="54" t="inlineStr">
        <is>
          <t>Brown</t>
        </is>
      </c>
    </row>
    <row r="3" ht="21" customHeight="1">
      <c r="A3" s="81" t="inlineStr">
        <is>
          <t>A. If Retroreflectivity (RL) Data is Available</t>
        </is>
      </c>
      <c r="E3" s="81" t="n"/>
      <c r="G3" s="39" t="n"/>
      <c r="H3" s="39" t="n"/>
      <c r="L3" s="40" t="inlineStr">
        <is>
          <t>Select Foundation Defect</t>
        </is>
      </c>
      <c r="M3" s="2" t="inlineStr">
        <is>
          <t>Select Visibility Defect</t>
        </is>
      </c>
      <c r="N3" s="2" t="inlineStr">
        <is>
          <t>Select Presence Defect</t>
        </is>
      </c>
      <c r="O3" s="2" t="inlineStr">
        <is>
          <t>Select Structure Defects</t>
        </is>
      </c>
      <c r="P3" s="2" t="n"/>
      <c r="Q3" s="2" t="n"/>
      <c r="R3" s="2" t="n"/>
      <c r="S3" s="2" t="n"/>
      <c r="T3" s="2" t="n"/>
      <c r="U3" s="2" t="n"/>
      <c r="W3" s="55" t="n">
        <v>0.2</v>
      </c>
      <c r="X3" s="55" t="n">
        <v>-40</v>
      </c>
      <c r="Y3" s="57" t="inlineStr">
        <is>
          <t>Yellow</t>
        </is>
      </c>
      <c r="Z3" s="2">
        <f>CONCATENATE(W3,X3,Y3)</f>
        <v/>
      </c>
      <c r="AA3" s="55" t="n">
        <v>270</v>
      </c>
      <c r="AG3" s="55" t="n">
        <v>0.2</v>
      </c>
      <c r="AH3" s="55" t="n">
        <v>-40</v>
      </c>
      <c r="AI3" s="55" t="n">
        <v>360</v>
      </c>
      <c r="AJ3" s="55" t="n">
        <v>270</v>
      </c>
      <c r="AK3" s="55" t="n">
        <v>145</v>
      </c>
      <c r="AL3" s="55" t="n">
        <v>50</v>
      </c>
      <c r="AM3" s="55" t="n">
        <v>65</v>
      </c>
      <c r="AN3" s="55" t="n">
        <v>30</v>
      </c>
      <c r="AO3" s="55" t="n">
        <v>18</v>
      </c>
    </row>
    <row r="4" ht="21" customHeight="1">
      <c r="G4" s="1" t="n"/>
      <c r="H4" s="1" t="n"/>
      <c r="L4" s="10" t="inlineStr">
        <is>
          <t>No Defect Found</t>
        </is>
      </c>
      <c r="M4" s="34" t="inlineStr">
        <is>
          <t>No Defect Found</t>
        </is>
      </c>
      <c r="N4" s="34" t="inlineStr">
        <is>
          <t>No Defect Found</t>
        </is>
      </c>
      <c r="O4" s="10" t="inlineStr">
        <is>
          <t>No Defect Found</t>
        </is>
      </c>
      <c r="P4" s="3" t="n">
        <v>100</v>
      </c>
      <c r="Q4" s="3" t="n">
        <v>50</v>
      </c>
      <c r="R4" s="3" t="n">
        <v>50</v>
      </c>
      <c r="S4" s="3" t="n">
        <v>100</v>
      </c>
      <c r="T4" s="3" t="n">
        <v>100</v>
      </c>
      <c r="U4" s="10" t="inlineStr">
        <is>
          <t>GOOD</t>
        </is>
      </c>
      <c r="W4" s="55" t="n">
        <v>0.2</v>
      </c>
      <c r="X4" s="55" t="n">
        <v>-40</v>
      </c>
      <c r="Y4" s="57" t="inlineStr">
        <is>
          <t>Orange</t>
        </is>
      </c>
      <c r="Z4" s="2">
        <f>CONCATENATE(W4,X4,Y4)</f>
        <v/>
      </c>
      <c r="AA4" s="55" t="n">
        <v>145</v>
      </c>
      <c r="AG4" s="55" t="n">
        <v>0.2</v>
      </c>
      <c r="AH4" s="55" t="n">
        <v>300</v>
      </c>
      <c r="AI4" s="55" t="n">
        <v>170</v>
      </c>
      <c r="AJ4" s="55" t="n">
        <v>135</v>
      </c>
      <c r="AK4" s="55" t="n">
        <v>68</v>
      </c>
      <c r="AL4" s="55" t="n">
        <v>25</v>
      </c>
      <c r="AM4" s="55" t="n">
        <v>30</v>
      </c>
      <c r="AN4" s="55" t="n">
        <v>14</v>
      </c>
      <c r="AO4" s="55" t="n">
        <v>8.5</v>
      </c>
    </row>
    <row r="5" ht="30" customHeight="1">
      <c r="A5" s="84" t="inlineStr">
        <is>
          <t>Select Foundation Defects</t>
        </is>
      </c>
      <c r="B5" s="84" t="inlineStr">
        <is>
          <t>Select Structure Defects</t>
        </is>
      </c>
      <c r="C5" s="84" t="inlineStr">
        <is>
          <t>Select Gantry Sign Defects</t>
        </is>
      </c>
      <c r="D5" s="98" t="n"/>
      <c r="E5" s="59" t="n"/>
      <c r="G5" t="inlineStr">
        <is>
          <t>Yes</t>
        </is>
      </c>
      <c r="L5" s="2" t="inlineStr">
        <is>
          <t>Foundation has Surface Deterioration 2%</t>
        </is>
      </c>
      <c r="M5" s="34" t="inlineStr">
        <is>
          <t>In-service gantry sign with 90% visibility</t>
        </is>
      </c>
      <c r="N5" s="34" t="inlineStr">
        <is>
          <t>In-service gantry sign with 2% fading</t>
        </is>
      </c>
      <c r="O5" s="2" t="inlineStr">
        <is>
          <t>Gantry Post and/or Beam has 2% rusting / deterioration</t>
        </is>
      </c>
      <c r="P5" s="3" t="n">
        <v>90</v>
      </c>
      <c r="Q5" s="3" t="n">
        <v>45</v>
      </c>
      <c r="R5" s="3" t="n">
        <v>45</v>
      </c>
      <c r="S5" s="3" t="n">
        <v>90</v>
      </c>
      <c r="T5" s="3" t="n">
        <v>90</v>
      </c>
      <c r="U5" s="10" t="inlineStr">
        <is>
          <t>GOOD</t>
        </is>
      </c>
      <c r="W5" s="55" t="n">
        <v>0.2</v>
      </c>
      <c r="X5" s="55" t="n">
        <v>-40</v>
      </c>
      <c r="Y5" s="57" t="inlineStr">
        <is>
          <t>Green</t>
        </is>
      </c>
      <c r="Z5" s="2">
        <f>CONCATENATE(W5,X5,Y5)</f>
        <v/>
      </c>
      <c r="AA5" s="55" t="n">
        <v>50</v>
      </c>
      <c r="AG5" s="55" t="n">
        <v>0.5</v>
      </c>
      <c r="AH5" s="55" t="n">
        <v>-40</v>
      </c>
      <c r="AI5" s="55" t="n">
        <v>150</v>
      </c>
      <c r="AJ5" s="55" t="n">
        <v>110</v>
      </c>
      <c r="AK5" s="55" t="n">
        <v>60</v>
      </c>
      <c r="AL5" s="55" t="n">
        <v>21</v>
      </c>
      <c r="AM5" s="55" t="n">
        <v>27</v>
      </c>
      <c r="AN5" s="55" t="n">
        <v>13</v>
      </c>
      <c r="AO5" s="55" t="n">
        <v>7.5</v>
      </c>
    </row>
    <row r="6" ht="30" customHeight="1">
      <c r="A6" s="99" t="n"/>
      <c r="B6" s="99" t="n"/>
      <c r="C6" s="84" t="inlineStr">
        <is>
          <t>Select Visibility Defects</t>
        </is>
      </c>
      <c r="D6" s="84" t="inlineStr">
        <is>
          <t>Select Presence Defects</t>
        </is>
      </c>
      <c r="G6" t="inlineStr">
        <is>
          <t>No</t>
        </is>
      </c>
      <c r="L6" s="2" t="inlineStr">
        <is>
          <t>Foundation has Surface Deterioration 4%</t>
        </is>
      </c>
      <c r="M6" s="34" t="inlineStr">
        <is>
          <t>In-service gantry sign with 80% visibility</t>
        </is>
      </c>
      <c r="N6" s="34" t="inlineStr">
        <is>
          <t xml:space="preserve">In-service gantry sign with 5% fading </t>
        </is>
      </c>
      <c r="O6" s="2" t="inlineStr">
        <is>
          <t>Gantry Post and/or Beam has 4% rusting / deterioration</t>
        </is>
      </c>
      <c r="P6" s="3" t="n">
        <v>80</v>
      </c>
      <c r="Q6" s="3" t="n">
        <v>40</v>
      </c>
      <c r="R6" s="3" t="n">
        <v>40</v>
      </c>
      <c r="S6" s="3" t="n">
        <v>80</v>
      </c>
      <c r="T6" s="8" t="n">
        <v>80</v>
      </c>
      <c r="U6" s="10" t="inlineStr">
        <is>
          <t>GOOD</t>
        </is>
      </c>
      <c r="W6" s="55" t="n">
        <v>0.2</v>
      </c>
      <c r="X6" s="55" t="n">
        <v>-40</v>
      </c>
      <c r="Y6" s="57" t="inlineStr">
        <is>
          <t>Red</t>
        </is>
      </c>
      <c r="Z6" s="2">
        <f>CONCATENATE(W6,X6,Y6)</f>
        <v/>
      </c>
      <c r="AA6" s="55" t="n">
        <v>65</v>
      </c>
      <c r="AG6" s="55" t="n">
        <v>0.5</v>
      </c>
      <c r="AH6" s="55" t="n">
        <v>300</v>
      </c>
      <c r="AI6" s="55" t="n">
        <v>72</v>
      </c>
      <c r="AJ6" s="55" t="n">
        <v>54</v>
      </c>
      <c r="AK6" s="55" t="n">
        <v>28</v>
      </c>
      <c r="AL6" s="55" t="n">
        <v>10</v>
      </c>
      <c r="AM6" s="55" t="n">
        <v>13</v>
      </c>
      <c r="AN6" s="55" t="n">
        <v>6</v>
      </c>
      <c r="AO6" s="55" t="n">
        <v>3.5</v>
      </c>
    </row>
    <row r="7" ht="21" customHeight="1">
      <c r="A7" s="90" t="inlineStr">
        <is>
          <t>No Defect Found</t>
        </is>
      </c>
      <c r="B7" s="90" t="inlineStr">
        <is>
          <t>No Defect Found</t>
        </is>
      </c>
      <c r="C7" s="90" t="inlineStr">
        <is>
          <t>Fill the RL Data</t>
        </is>
      </c>
      <c r="D7" s="90" t="inlineStr">
        <is>
          <t>No Defect Found</t>
        </is>
      </c>
      <c r="G7" s="63" t="inlineStr">
        <is>
          <t>F</t>
        </is>
      </c>
      <c r="H7" s="63" t="inlineStr">
        <is>
          <t>S</t>
        </is>
      </c>
      <c r="L7" s="2" t="inlineStr">
        <is>
          <t>Foundation has Surface Deterioration or rusting 6%</t>
        </is>
      </c>
      <c r="M7" s="34" t="inlineStr">
        <is>
          <t>In-service gantry sign with 70% visibility</t>
        </is>
      </c>
      <c r="N7" s="34" t="inlineStr">
        <is>
          <t>In-service gantry sign with 10% fading</t>
        </is>
      </c>
      <c r="O7" s="2" t="inlineStr">
        <is>
          <t>Gantry Post and/or Beam has 6% rusting / deterioration</t>
        </is>
      </c>
      <c r="P7" s="3" t="n">
        <v>70</v>
      </c>
      <c r="Q7" s="3" t="n">
        <v>35</v>
      </c>
      <c r="R7" s="3" t="n">
        <v>35</v>
      </c>
      <c r="S7" s="3" t="n">
        <v>70</v>
      </c>
      <c r="T7" s="3" t="n">
        <v>70</v>
      </c>
      <c r="U7" s="2" t="inlineStr">
        <is>
          <t>FAIR</t>
        </is>
      </c>
      <c r="W7" s="55" t="n">
        <v>0.2</v>
      </c>
      <c r="X7" s="55" t="n">
        <v>-40</v>
      </c>
      <c r="Y7" s="57" t="inlineStr">
        <is>
          <t>Blue</t>
        </is>
      </c>
      <c r="Z7" s="2">
        <f>CONCATENATE(W7,X7,Y7)</f>
        <v/>
      </c>
      <c r="AA7" s="55" t="n">
        <v>30</v>
      </c>
    </row>
    <row r="8" ht="21" customHeight="1">
      <c r="G8" s="7">
        <f>VLOOKUP(A7, L3:P14,5, FALSE)</f>
        <v/>
      </c>
      <c r="H8" s="7">
        <f>VLOOKUP(B7, O3:S14, 5, FALSE)</f>
        <v/>
      </c>
      <c r="L8" s="2" t="inlineStr">
        <is>
          <t>Foundation has Surface Deterioration or rusting 8%</t>
        </is>
      </c>
      <c r="M8" s="34" t="inlineStr">
        <is>
          <t>In-service gantry sign with 60% visibility</t>
        </is>
      </c>
      <c r="N8" s="34" t="inlineStr">
        <is>
          <t>In-service gantry sign with 20% fading</t>
        </is>
      </c>
      <c r="O8" s="2" t="inlineStr">
        <is>
          <t>Gantry Post and/or Beam has 8% rusting / deterioration</t>
        </is>
      </c>
      <c r="P8" s="3" t="n">
        <v>60</v>
      </c>
      <c r="Q8" s="3" t="n">
        <v>30</v>
      </c>
      <c r="R8" s="3" t="n">
        <v>30</v>
      </c>
      <c r="S8" s="3" t="n">
        <v>60</v>
      </c>
      <c r="T8" s="3" t="n">
        <v>60</v>
      </c>
      <c r="U8" s="2" t="inlineStr">
        <is>
          <t>FAIR</t>
        </is>
      </c>
      <c r="W8" s="55" t="n">
        <v>0.2</v>
      </c>
      <c r="X8" s="55" t="n">
        <v>-40</v>
      </c>
      <c r="Y8" s="57" t="inlineStr">
        <is>
          <t>Brown</t>
        </is>
      </c>
      <c r="Z8" s="2">
        <f>CONCATENATE(W8,X8,Y8)</f>
        <v/>
      </c>
      <c r="AA8" s="55" t="n">
        <v>18</v>
      </c>
    </row>
    <row r="9" ht="21" customHeight="1">
      <c r="L9" s="2" t="inlineStr">
        <is>
          <t>Foundation has Surface Deterioration or rusting 10%</t>
        </is>
      </c>
      <c r="M9" s="34" t="inlineStr">
        <is>
          <t>In-service gantry sign with 50% visibility</t>
        </is>
      </c>
      <c r="N9" s="34" t="inlineStr">
        <is>
          <t xml:space="preserve">In-service gantry sign with 25% fading </t>
        </is>
      </c>
      <c r="O9" s="2" t="inlineStr">
        <is>
          <t>Gantry Post and/or Beam has 10% rusting / deterioration</t>
        </is>
      </c>
      <c r="P9" s="3" t="n">
        <v>50</v>
      </c>
      <c r="Q9" s="3" t="n">
        <v>25</v>
      </c>
      <c r="R9" s="3" t="n">
        <v>25</v>
      </c>
      <c r="S9" s="3" t="n">
        <v>50</v>
      </c>
      <c r="T9" s="3" t="n">
        <v>50</v>
      </c>
      <c r="U9" s="2" t="inlineStr">
        <is>
          <t>FAIR</t>
        </is>
      </c>
      <c r="W9" s="55" t="n">
        <v>0.2</v>
      </c>
      <c r="X9" s="55" t="n">
        <v>300</v>
      </c>
      <c r="Y9" s="57" t="inlineStr">
        <is>
          <t>White</t>
        </is>
      </c>
      <c r="Z9" s="2">
        <f>CONCATENATE(W9,X9,Y9)</f>
        <v/>
      </c>
      <c r="AA9" s="55" t="n">
        <v>170</v>
      </c>
    </row>
    <row r="10" ht="21" customHeight="1">
      <c r="A10" s="62" t="inlineStr">
        <is>
          <t>Retroreflectivity Input</t>
        </is>
      </c>
      <c r="L10" s="2" t="inlineStr">
        <is>
          <t>Foundation has Surface Deterioration or rusting 15%</t>
        </is>
      </c>
      <c r="M10" s="34" t="inlineStr">
        <is>
          <t>In-service gantry sign with 40% visibility</t>
        </is>
      </c>
      <c r="N10" s="34" t="inlineStr">
        <is>
          <t>In-service gantry sign with 30% fading or damages 20%</t>
        </is>
      </c>
      <c r="O10" s="2" t="inlineStr">
        <is>
          <t>Gantry Post and/or Beam has 15% rusting / deterioration effecting the functionality of the structure</t>
        </is>
      </c>
      <c r="P10" s="3" t="n">
        <v>40</v>
      </c>
      <c r="Q10" s="3" t="n">
        <v>20</v>
      </c>
      <c r="R10" s="3" t="n">
        <v>20</v>
      </c>
      <c r="S10" s="3" t="n">
        <v>40</v>
      </c>
      <c r="T10" s="3" t="n">
        <v>40</v>
      </c>
      <c r="U10" s="2" t="inlineStr">
        <is>
          <t>POOR</t>
        </is>
      </c>
      <c r="W10" s="55" t="n">
        <v>0.2</v>
      </c>
      <c r="X10" s="55" t="n">
        <v>300</v>
      </c>
      <c r="Y10" s="57" t="inlineStr">
        <is>
          <t>Yellow</t>
        </is>
      </c>
      <c r="Z10" s="2">
        <f>CONCATENATE(W10,X10,Y10)</f>
        <v/>
      </c>
      <c r="AA10" s="55" t="n">
        <v>135</v>
      </c>
    </row>
    <row r="11" ht="30" customHeight="1">
      <c r="A11" s="84" t="inlineStr">
        <is>
          <t>Select Observation Angle</t>
        </is>
      </c>
      <c r="B11" s="84" t="inlineStr">
        <is>
          <t>Select Entrance Angle</t>
        </is>
      </c>
      <c r="C11" s="84" t="inlineStr">
        <is>
          <t>Select Color</t>
        </is>
      </c>
      <c r="D11" s="84" t="inlineStr">
        <is>
          <t>Input Measured Retroreflectivity (RL) Value</t>
        </is>
      </c>
      <c r="E11" s="59" t="n"/>
      <c r="F11" s="52" t="inlineStr">
        <is>
          <t>link</t>
        </is>
      </c>
      <c r="G11" s="39" t="inlineStr">
        <is>
          <t>V</t>
        </is>
      </c>
      <c r="H11" s="39" t="inlineStr">
        <is>
          <t>P</t>
        </is>
      </c>
      <c r="L11" s="2" t="inlineStr">
        <is>
          <t>Foundation has Surface Deterioration  or rusting 20%</t>
        </is>
      </c>
      <c r="M11" s="34" t="inlineStr">
        <is>
          <t>In-service gantry sign with 30% visibility</t>
        </is>
      </c>
      <c r="N11" s="34" t="inlineStr">
        <is>
          <t>In-service gantry sign with 35% fading or damages 25%</t>
        </is>
      </c>
      <c r="O11" s="2" t="inlineStr">
        <is>
          <t>Gantry Post and/or Beam has 20% rusting / deterioration effecting the functionality of the structure</t>
        </is>
      </c>
      <c r="P11" s="3" t="n">
        <v>30</v>
      </c>
      <c r="Q11" s="3" t="n">
        <v>15</v>
      </c>
      <c r="R11" s="3" t="n">
        <v>15</v>
      </c>
      <c r="S11" s="3" t="n">
        <v>30</v>
      </c>
      <c r="T11" s="3" t="n">
        <v>30</v>
      </c>
      <c r="U11" s="2" t="inlineStr">
        <is>
          <t>POOR</t>
        </is>
      </c>
      <c r="W11" s="55" t="n">
        <v>0.2</v>
      </c>
      <c r="X11" s="55" t="n">
        <v>300</v>
      </c>
      <c r="Y11" s="57" t="inlineStr">
        <is>
          <t>Orange</t>
        </is>
      </c>
      <c r="Z11" s="2">
        <f>CONCATENATE(W11,X11,Y11)</f>
        <v/>
      </c>
      <c r="AA11" s="55" t="n">
        <v>68</v>
      </c>
    </row>
    <row r="12" ht="21" customHeight="1">
      <c r="A12" s="90" t="n">
        <v>0.2</v>
      </c>
      <c r="B12" s="8" t="n">
        <v>-40</v>
      </c>
      <c r="C12" s="8" t="inlineStr">
        <is>
          <t>White</t>
        </is>
      </c>
      <c r="D12" s="90" t="n">
        <v>300</v>
      </c>
      <c r="E12" s="42" t="n"/>
      <c r="F12">
        <f>CONCATENATE(A12,B12,C12)</f>
        <v/>
      </c>
      <c r="G12" s="7">
        <f>ROUND(50*(D12/VLOOKUP(F12, Z2:AA29, 2, FALSE)),0)</f>
        <v/>
      </c>
      <c r="H12" s="7">
        <f>VLOOKUP(D7, N3:R14, 5, FALSE)</f>
        <v/>
      </c>
      <c r="L12" s="2" t="inlineStr">
        <is>
          <t>Foundation has Surface Deterioration or rusting 25%</t>
        </is>
      </c>
      <c r="M12" s="34" t="inlineStr">
        <is>
          <t>In-service gantry sign with 20% visibility</t>
        </is>
      </c>
      <c r="N12" s="34" t="inlineStr">
        <is>
          <t>In-service gantry sign with 40% fading or damages 30%</t>
        </is>
      </c>
      <c r="O12" s="2" t="inlineStr">
        <is>
          <t>Gantry Post and/or Beam has 25% rusting / deterioration effecting the functionality of the structure</t>
        </is>
      </c>
      <c r="P12" s="3" t="n">
        <v>20</v>
      </c>
      <c r="Q12" s="3" t="n">
        <v>10</v>
      </c>
      <c r="R12" s="3" t="n">
        <v>10</v>
      </c>
      <c r="S12" s="3" t="n">
        <v>20</v>
      </c>
      <c r="T12" s="3" t="n">
        <v>20</v>
      </c>
      <c r="U12" s="2" t="inlineStr">
        <is>
          <t>POOR</t>
        </is>
      </c>
      <c r="W12" s="55" t="n">
        <v>0.2</v>
      </c>
      <c r="X12" s="55" t="n">
        <v>300</v>
      </c>
      <c r="Y12" s="57" t="inlineStr">
        <is>
          <t>Green</t>
        </is>
      </c>
      <c r="Z12" s="2">
        <f>CONCATENATE(W12,X12,Y12)</f>
        <v/>
      </c>
      <c r="AA12" s="55" t="n">
        <v>25</v>
      </c>
    </row>
    <row r="13" ht="21" customHeight="1">
      <c r="L13" s="2" t="inlineStr">
        <is>
          <t>Foundation has Surface Deterioration  or rusting 30%</t>
        </is>
      </c>
      <c r="M13" s="34" t="inlineStr">
        <is>
          <t>In-service gantry sign with 10% visibility</t>
        </is>
      </c>
      <c r="N13" s="34" t="inlineStr">
        <is>
          <t>In-service gantry sign with 50% fading or damages 40%</t>
        </is>
      </c>
      <c r="O13" s="2" t="inlineStr">
        <is>
          <t>Gantry Post and/or Beam has 30% rusting / deterioration effecting the functionality of the structure</t>
        </is>
      </c>
      <c r="P13" s="3" t="n">
        <v>10</v>
      </c>
      <c r="Q13" s="3" t="n">
        <v>5</v>
      </c>
      <c r="R13" s="3" t="n">
        <v>5</v>
      </c>
      <c r="S13" s="3" t="n">
        <v>10</v>
      </c>
      <c r="T13" s="3" t="n">
        <v>10</v>
      </c>
      <c r="U13" s="2" t="inlineStr">
        <is>
          <t>POOR</t>
        </is>
      </c>
      <c r="W13" s="55" t="n">
        <v>0.2</v>
      </c>
      <c r="X13" s="55" t="n">
        <v>300</v>
      </c>
      <c r="Y13" s="57" t="inlineStr">
        <is>
          <t>Red</t>
        </is>
      </c>
      <c r="Z13" s="2">
        <f>CONCATENATE(W13,X13,Y13)</f>
        <v/>
      </c>
      <c r="AA13" s="55" t="n">
        <v>30</v>
      </c>
    </row>
    <row r="14" ht="21" customHeight="1">
      <c r="L14" s="2" t="inlineStr">
        <is>
          <t>Foundation has major damages more than 40%</t>
        </is>
      </c>
      <c r="M14" s="34" t="inlineStr">
        <is>
          <t>In-service gantry sign with visibility less than 10%</t>
        </is>
      </c>
      <c r="N14" s="34" t="inlineStr">
        <is>
          <t>In-service gantry sign barely visible or severely damaged more than 40%</t>
        </is>
      </c>
      <c r="O14" s="2" t="inlineStr">
        <is>
          <t xml:space="preserve">Gantry Post and/or beam are damaged more than 40% </t>
        </is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2" t="inlineStr">
        <is>
          <t>POOR</t>
        </is>
      </c>
      <c r="W14" s="55" t="n">
        <v>0.2</v>
      </c>
      <c r="X14" s="55" t="n">
        <v>300</v>
      </c>
      <c r="Y14" s="57" t="inlineStr">
        <is>
          <t>Blue</t>
        </is>
      </c>
      <c r="Z14" s="2">
        <f>CONCATENATE(W14,X14,Y14)</f>
        <v/>
      </c>
      <c r="AA14" s="55" t="n">
        <v>14</v>
      </c>
    </row>
    <row r="15" ht="21" customHeight="1">
      <c r="A15" s="36" t="inlineStr">
        <is>
          <t>(ACI-RG) Value</t>
        </is>
      </c>
      <c r="B15" s="37">
        <f>IF(OR(G8=0, H8=0, G12=0, H12=0), 0, ROUND(0.4*G8 + 0.3*H8 + 0.3*(G12 + H12), 0))</f>
        <v/>
      </c>
      <c r="W15" s="55" t="n">
        <v>0.2</v>
      </c>
      <c r="X15" s="55" t="n">
        <v>300</v>
      </c>
      <c r="Y15" s="57" t="inlineStr">
        <is>
          <t>Brown</t>
        </is>
      </c>
      <c r="Z15" s="2">
        <f>CONCATENATE(W15,X15,Y15)</f>
        <v/>
      </c>
      <c r="AA15" s="55" t="n">
        <v>8.5</v>
      </c>
    </row>
    <row r="16" ht="21" customHeight="1">
      <c r="A16" s="36" t="inlineStr">
        <is>
          <t>(ACI-RG) Condition</t>
        </is>
      </c>
      <c r="B16" s="37">
        <f>IF(AND(B15&gt;=80, B15&lt;=100), "GOOD", IF(AND(B15&gt;40, B15&lt;80), "FAIR", "POOR"))</f>
        <v/>
      </c>
      <c r="W16" s="55" t="n">
        <v>0.5</v>
      </c>
      <c r="X16" s="55" t="n">
        <v>-40</v>
      </c>
      <c r="Y16" s="57" t="inlineStr">
        <is>
          <t>White</t>
        </is>
      </c>
      <c r="Z16" s="2">
        <f>CONCATENATE(W16,X16,Y16)</f>
        <v/>
      </c>
      <c r="AA16" s="55" t="n">
        <v>150</v>
      </c>
    </row>
    <row r="17" ht="21" customHeight="1">
      <c r="W17" s="55" t="n">
        <v>0.5</v>
      </c>
      <c r="X17" s="55" t="n">
        <v>-40</v>
      </c>
      <c r="Y17" s="57" t="inlineStr">
        <is>
          <t>Yellow</t>
        </is>
      </c>
      <c r="Z17" s="2">
        <f>CONCATENATE(W17,X17,Y17)</f>
        <v/>
      </c>
      <c r="AA17" s="55" t="n">
        <v>110</v>
      </c>
    </row>
    <row r="18" ht="21" customHeight="1">
      <c r="L18">
        <f>0.4*G8+0.3*H8+0.3*(G12+H12)</f>
        <v/>
      </c>
      <c r="W18" s="55" t="n">
        <v>0.5</v>
      </c>
      <c r="X18" s="55" t="n">
        <v>-40</v>
      </c>
      <c r="Y18" s="57" t="inlineStr">
        <is>
          <t>Orange</t>
        </is>
      </c>
      <c r="Z18" s="2">
        <f>CONCATENATE(W18,X18,Y18)</f>
        <v/>
      </c>
      <c r="AA18" s="55" t="n">
        <v>60</v>
      </c>
    </row>
    <row r="19" ht="21" customHeight="1">
      <c r="W19" s="55" t="n">
        <v>0.5</v>
      </c>
      <c r="X19" s="55" t="n">
        <v>-40</v>
      </c>
      <c r="Y19" s="57" t="inlineStr">
        <is>
          <t>Green</t>
        </is>
      </c>
      <c r="Z19" s="2">
        <f>CONCATENATE(W19,X19,Y19)</f>
        <v/>
      </c>
      <c r="AA19" s="55" t="n">
        <v>21</v>
      </c>
    </row>
    <row r="20" ht="21" customHeight="1">
      <c r="A20" s="81" t="inlineStr">
        <is>
          <t xml:space="preserve">B. If Only Visual Inspection Data is Available </t>
        </is>
      </c>
      <c r="B20" s="81" t="n"/>
      <c r="C20" s="81" t="n"/>
      <c r="D20" s="81" t="n"/>
      <c r="E20" s="81" t="n"/>
      <c r="W20" s="55" t="n">
        <v>0.5</v>
      </c>
      <c r="X20" s="55" t="n">
        <v>-40</v>
      </c>
      <c r="Y20" s="57" t="inlineStr">
        <is>
          <t>Red</t>
        </is>
      </c>
      <c r="Z20" s="2">
        <f>CONCATENATE(W20,X20,Y20)</f>
        <v/>
      </c>
      <c r="AA20" s="55" t="n">
        <v>27</v>
      </c>
    </row>
    <row r="21" ht="21" customHeight="1">
      <c r="G21" s="63" t="inlineStr">
        <is>
          <t>F</t>
        </is>
      </c>
      <c r="H21" s="63" t="inlineStr">
        <is>
          <t>S</t>
        </is>
      </c>
      <c r="W21" s="55" t="n">
        <v>0.5</v>
      </c>
      <c r="X21" s="55" t="n">
        <v>-40</v>
      </c>
      <c r="Y21" s="57" t="inlineStr">
        <is>
          <t>Blue</t>
        </is>
      </c>
      <c r="Z21" s="2">
        <f>CONCATENATE(W21,X21,Y21)</f>
        <v/>
      </c>
      <c r="AA21" s="55" t="n">
        <v>13</v>
      </c>
    </row>
    <row r="22" ht="30" customHeight="1">
      <c r="A22" s="85" t="inlineStr">
        <is>
          <t>Select Foundation Defects</t>
        </is>
      </c>
      <c r="B22" s="85" t="inlineStr">
        <is>
          <t>Select Structure Defects</t>
        </is>
      </c>
      <c r="C22" s="84" t="inlineStr">
        <is>
          <t>Select Gantry Sign Defects</t>
        </is>
      </c>
      <c r="D22" s="98" t="n"/>
      <c r="G22" s="7">
        <f>VLOOKUP(A24, L3:P14,5, FALSE)</f>
        <v/>
      </c>
      <c r="H22" s="7">
        <f>VLOOKUP(B24, O3:S14, 5, FALSE)</f>
        <v/>
      </c>
      <c r="W22" s="55" t="n">
        <v>0.5</v>
      </c>
      <c r="X22" s="55" t="n">
        <v>-40</v>
      </c>
      <c r="Y22" s="57" t="inlineStr">
        <is>
          <t>Brown</t>
        </is>
      </c>
      <c r="Z22" s="2">
        <f>CONCATENATE(W22,X22,Y22)</f>
        <v/>
      </c>
      <c r="AA22" s="55" t="n">
        <v>7.5</v>
      </c>
    </row>
    <row r="23" ht="30" customHeight="1">
      <c r="A23" s="86" t="n"/>
      <c r="B23" s="86" t="n"/>
      <c r="C23" s="84" t="inlineStr">
        <is>
          <t>Select Visibility Defects</t>
        </is>
      </c>
      <c r="D23" s="84" t="inlineStr">
        <is>
          <t>Select Presence Defects</t>
        </is>
      </c>
      <c r="G23" s="39" t="inlineStr">
        <is>
          <t>V</t>
        </is>
      </c>
      <c r="H23" s="39" t="inlineStr">
        <is>
          <t>P</t>
        </is>
      </c>
      <c r="W23" s="55" t="n">
        <v>0.5</v>
      </c>
      <c r="X23" s="55" t="n">
        <v>300</v>
      </c>
      <c r="Y23" s="57" t="inlineStr">
        <is>
          <t>White</t>
        </is>
      </c>
      <c r="Z23" s="2">
        <f>CONCATENATE(W23,X23,Y23)</f>
        <v/>
      </c>
      <c r="AA23" s="55" t="n">
        <v>72</v>
      </c>
    </row>
    <row r="24" ht="21" customHeight="1">
      <c r="A24" s="90" t="inlineStr">
        <is>
          <t>No Defect Found</t>
        </is>
      </c>
      <c r="B24" s="90" t="inlineStr">
        <is>
          <t>No Defect Found</t>
        </is>
      </c>
      <c r="C24" s="90" t="inlineStr">
        <is>
          <t>No Defect Found</t>
        </is>
      </c>
      <c r="D24" s="90" t="inlineStr">
        <is>
          <t>No Defect Found</t>
        </is>
      </c>
      <c r="G24" s="7">
        <f>VLOOKUP(C24, M3:Q14, 5, FALSE)</f>
        <v/>
      </c>
      <c r="H24" s="7">
        <f>VLOOKUP(D24, N3:R14, 5, FALSE)</f>
        <v/>
      </c>
      <c r="W24" s="55" t="n">
        <v>0.5</v>
      </c>
      <c r="X24" s="55" t="n">
        <v>300</v>
      </c>
      <c r="Y24" s="57" t="inlineStr">
        <is>
          <t>Yellow</t>
        </is>
      </c>
      <c r="Z24" s="2">
        <f>CONCATENATE(W24,X24,Y24)</f>
        <v/>
      </c>
      <c r="AA24" s="55" t="n">
        <v>54</v>
      </c>
    </row>
    <row r="25" ht="21" customHeight="1">
      <c r="W25" s="55" t="n">
        <v>0.5</v>
      </c>
      <c r="X25" s="55" t="n">
        <v>300</v>
      </c>
      <c r="Y25" s="57" t="inlineStr">
        <is>
          <t>Orange</t>
        </is>
      </c>
      <c r="Z25" s="2">
        <f>CONCATENATE(W25,X25,Y25)</f>
        <v/>
      </c>
      <c r="AA25" s="55" t="n">
        <v>28</v>
      </c>
    </row>
    <row r="26" ht="21" customHeight="1">
      <c r="A26" s="36" t="inlineStr">
        <is>
          <t>(ACI-RG) Value</t>
        </is>
      </c>
      <c r="B26" s="37">
        <f>IF(OR(G22=0, H22=0, G24=0, H24=0), 0, ROUND(0.4*G22+0.3*H22+0.3*(G24+H24), 0))</f>
        <v/>
      </c>
      <c r="W26" s="55" t="n">
        <v>0.5</v>
      </c>
      <c r="X26" s="55" t="n">
        <v>300</v>
      </c>
      <c r="Y26" s="57" t="inlineStr">
        <is>
          <t>Green</t>
        </is>
      </c>
      <c r="Z26" s="2">
        <f>CONCATENATE(W26,X26,Y26)</f>
        <v/>
      </c>
      <c r="AA26" s="55" t="n">
        <v>10</v>
      </c>
    </row>
    <row r="27" ht="21" customHeight="1">
      <c r="A27" s="36" t="inlineStr">
        <is>
          <t>(ACI-RG) Condition</t>
        </is>
      </c>
      <c r="B27" s="37">
        <f>IF(AND(B26&gt;=80, B26&lt;=100), "GOOD", IF(AND(B26&gt;40, B26&lt;80), "FAIR", "POOR"))</f>
        <v/>
      </c>
      <c r="W27" s="55" t="n">
        <v>0.5</v>
      </c>
      <c r="X27" s="55" t="n">
        <v>300</v>
      </c>
      <c r="Y27" s="57" t="inlineStr">
        <is>
          <t>Red</t>
        </is>
      </c>
      <c r="Z27" s="2">
        <f>CONCATENATE(W27,X27,Y27)</f>
        <v/>
      </c>
      <c r="AA27" s="55" t="n">
        <v>13</v>
      </c>
    </row>
    <row r="28" ht="21" customHeight="1">
      <c r="W28" s="55" t="n">
        <v>0.5</v>
      </c>
      <c r="X28" s="55" t="n">
        <v>300</v>
      </c>
      <c r="Y28" s="57" t="inlineStr">
        <is>
          <t>Blue</t>
        </is>
      </c>
      <c r="Z28" s="2">
        <f>CONCATENATE(W28,X28,Y28)</f>
        <v/>
      </c>
      <c r="AA28" s="55" t="n">
        <v>6</v>
      </c>
    </row>
    <row r="29" ht="21" customHeight="1">
      <c r="W29" s="55" t="n">
        <v>0.5</v>
      </c>
      <c r="X29" s="55" t="n">
        <v>300</v>
      </c>
      <c r="Y29" s="57" t="inlineStr">
        <is>
          <t>Brown</t>
        </is>
      </c>
      <c r="Z29" s="2">
        <f>CONCATENATE(W29,X29,Y29)</f>
        <v/>
      </c>
      <c r="AA29" s="55" t="n">
        <v>3.5</v>
      </c>
    </row>
  </sheetData>
  <autoFilter ref="L2:U2">
    <sortState ref="L4:U13">
      <sortCondition descending="1" ref="T2"/>
    </sortState>
  </autoFilter>
  <mergeCells count="14">
    <mergeCell ref="A5:A6"/>
    <mergeCell ref="U1:U2"/>
    <mergeCell ref="A1:D1"/>
    <mergeCell ref="Q1:R1"/>
    <mergeCell ref="B5:B6"/>
    <mergeCell ref="A3:D3"/>
    <mergeCell ref="C5:D5"/>
    <mergeCell ref="S1:S2"/>
    <mergeCell ref="C22:D22"/>
    <mergeCell ref="M1:N1"/>
    <mergeCell ref="L1:L2"/>
    <mergeCell ref="P1:P2"/>
    <mergeCell ref="O1:O2"/>
    <mergeCell ref="T1:T2"/>
  </mergeCells>
  <dataValidations disablePrompts="1" count="7">
    <dataValidation sqref="B12" showDropDown="0" showInputMessage="1" showErrorMessage="1" allowBlank="1" type="list">
      <formula1>$X$2:$X$29</formula1>
    </dataValidation>
    <dataValidation sqref="A12" showDropDown="0" showInputMessage="1" showErrorMessage="1" allowBlank="1" type="list">
      <formula1>$W$2:$W$29</formula1>
    </dataValidation>
    <dataValidation sqref="C12" showDropDown="0" showInputMessage="1" showErrorMessage="1" allowBlank="1" type="list">
      <formula1>$Y$2:$Y$29</formula1>
    </dataValidation>
    <dataValidation sqref="D7 D24 E12" showDropDown="0" showInputMessage="1" showErrorMessage="1" allowBlank="1" type="list">
      <formula1>$N$3:$N$14</formula1>
    </dataValidation>
    <dataValidation sqref="A7 A24" showDropDown="0" showInputMessage="1" showErrorMessage="1" allowBlank="1" type="list">
      <formula1>$L$3:$L$14</formula1>
    </dataValidation>
    <dataValidation sqref="B7 B24" showDropDown="0" showInputMessage="1" showErrorMessage="1" allowBlank="1" type="list">
      <formula1>$O$3:$O$14</formula1>
    </dataValidation>
    <dataValidation sqref="C24" showDropDown="0" showInputMessage="1" showErrorMessage="1" allowBlank="1" type="list">
      <formula1>$M$3:$M$14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L13"/>
  <sheetViews>
    <sheetView workbookViewId="0">
      <selection activeCell="A1" sqref="A1:E8"/>
    </sheetView>
  </sheetViews>
  <sheetFormatPr baseColWidth="8" defaultRowHeight="15"/>
  <cols>
    <col width="36" bestFit="1" customWidth="1" min="1" max="1"/>
    <col width="49.85546875" customWidth="1" min="2" max="2"/>
    <col width="42.5703125" bestFit="1" customWidth="1" min="7" max="7"/>
    <col width="43.28515625" bestFit="1" customWidth="1" min="8" max="8"/>
    <col width="19.7109375" bestFit="1" customWidth="1" min="9" max="9"/>
    <col width="21" bestFit="1" customWidth="1" min="10" max="10"/>
    <col width="10" bestFit="1" customWidth="1" min="11" max="11"/>
    <col width="10.28515625" bestFit="1" customWidth="1" min="12" max="12"/>
  </cols>
  <sheetData>
    <row r="1" ht="24" customFormat="1" customHeight="1" s="7">
      <c r="A1" s="78" t="inlineStr">
        <is>
          <t>New Jersey Barrier Asset Condition Index Calculator (ACI-JB)</t>
        </is>
      </c>
      <c r="G1" s="87" t="inlineStr">
        <is>
          <t>Functional Defects</t>
        </is>
      </c>
      <c r="H1" s="87" t="inlineStr">
        <is>
          <t>Appearance Defects</t>
        </is>
      </c>
      <c r="I1" s="87" t="inlineStr">
        <is>
          <t>Functional Rating (F)</t>
        </is>
      </c>
      <c r="J1" s="87" t="inlineStr">
        <is>
          <t>Appearance Rating (A)</t>
        </is>
      </c>
      <c r="K1" s="87" t="inlineStr">
        <is>
          <t>ACI = F + A</t>
        </is>
      </c>
      <c r="L1" s="87" t="inlineStr">
        <is>
          <t>ACI Rating</t>
        </is>
      </c>
    </row>
    <row r="2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</row>
    <row r="3">
      <c r="A3" s="87" t="inlineStr">
        <is>
          <t>Select Appropriate Functional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4" t="inlineStr">
        <is>
          <t>No Defect Found</t>
        </is>
      </c>
      <c r="H3" s="4" t="inlineStr">
        <is>
          <t>No Defect Found</t>
        </is>
      </c>
      <c r="I3" s="3">
        <f>K3*0.8</f>
        <v/>
      </c>
      <c r="J3" s="3">
        <f>K3*0.2</f>
        <v/>
      </c>
      <c r="K3" s="3" t="n">
        <v>100</v>
      </c>
      <c r="L3" s="3" t="inlineStr">
        <is>
          <t>GOOD</t>
        </is>
      </c>
    </row>
    <row r="4">
      <c r="A4" s="42" t="inlineStr">
        <is>
          <t>No Defect Found</t>
        </is>
      </c>
      <c r="B4" s="42" t="inlineStr">
        <is>
          <t>No Defect Found</t>
        </is>
      </c>
      <c r="D4" s="1">
        <f>VLOOKUP(A4, G1:I13, 3,FALSE)</f>
        <v/>
      </c>
      <c r="E4" s="1">
        <f>VLOOKUP(B4, H1:J13, 3, FALSE)</f>
        <v/>
      </c>
      <c r="G4" s="4" t="inlineStr">
        <is>
          <t>Barrier is 1% damage / misaligned</t>
        </is>
      </c>
      <c r="H4" s="4" t="inlineStr">
        <is>
          <t xml:space="preserve">Paint peeled off / Suface cracks is 2% </t>
        </is>
      </c>
      <c r="I4" s="3">
        <f>K4*0.8</f>
        <v/>
      </c>
      <c r="J4" s="3">
        <f>K4*0.2</f>
        <v/>
      </c>
      <c r="K4" s="3" t="n">
        <v>90</v>
      </c>
      <c r="L4" s="3" t="inlineStr">
        <is>
          <t>GOOD</t>
        </is>
      </c>
    </row>
    <row r="5">
      <c r="G5" s="4" t="inlineStr">
        <is>
          <t>Barrier is 2% damage / misaligned</t>
        </is>
      </c>
      <c r="H5" s="4" t="inlineStr">
        <is>
          <t xml:space="preserve">Paint peeled off / Suface cracks is 4% </t>
        </is>
      </c>
      <c r="I5" s="3">
        <f>K5*0.8</f>
        <v/>
      </c>
      <c r="J5" s="3">
        <f>K5*0.2</f>
        <v/>
      </c>
      <c r="K5" s="3" t="n">
        <v>80</v>
      </c>
      <c r="L5" s="3" t="inlineStr">
        <is>
          <t>GOOD</t>
        </is>
      </c>
    </row>
    <row r="6">
      <c r="G6" s="4" t="inlineStr">
        <is>
          <t>Barrier is 3% damage / misaligned</t>
        </is>
      </c>
      <c r="H6" s="4" t="inlineStr">
        <is>
          <t xml:space="preserve">Paint peeled off / Suface cracks is 6% </t>
        </is>
      </c>
      <c r="I6" s="3">
        <f>K6*0.8</f>
        <v/>
      </c>
      <c r="J6" s="3">
        <f>K6*0.2</f>
        <v/>
      </c>
      <c r="K6" s="3" t="n">
        <v>70</v>
      </c>
      <c r="L6" s="3" t="inlineStr">
        <is>
          <t>FAIR</t>
        </is>
      </c>
    </row>
    <row r="7">
      <c r="A7" s="44" t="inlineStr">
        <is>
          <t>(ACI-JB) Value</t>
        </is>
      </c>
      <c r="B7" s="44">
        <f>IF(D4=0, 0, D4+E4)</f>
        <v/>
      </c>
      <c r="G7" s="4" t="inlineStr">
        <is>
          <t>Barrier is 4% damage / misaligned</t>
        </is>
      </c>
      <c r="H7" s="4" t="inlineStr">
        <is>
          <t xml:space="preserve">Paint peeled off / Suface cracks is 8% </t>
        </is>
      </c>
      <c r="I7" s="3">
        <f>K7*0.8</f>
        <v/>
      </c>
      <c r="J7" s="3">
        <f>K7*0.2</f>
        <v/>
      </c>
      <c r="K7" s="3" t="n">
        <v>60</v>
      </c>
      <c r="L7" s="3" t="inlineStr">
        <is>
          <t>FAIR</t>
        </is>
      </c>
    </row>
    <row r="8">
      <c r="A8" s="44" t="inlineStr">
        <is>
          <t>(ACI-JB) Condition</t>
        </is>
      </c>
      <c r="B8" s="44">
        <f>IF(AND(B7&gt;=80, B7&lt;=100), "GOOD", IF(AND(B7&gt;40, B7&lt;80), "FAIR", "POOR"))</f>
        <v/>
      </c>
      <c r="G8" s="4" t="inlineStr">
        <is>
          <t>Barrier is 5% damage / misaligned</t>
        </is>
      </c>
      <c r="H8" s="4" t="inlineStr">
        <is>
          <t xml:space="preserve">Paint peeled off / Suface cracks is 10% </t>
        </is>
      </c>
      <c r="I8" s="3">
        <f>K8*0.8</f>
        <v/>
      </c>
      <c r="J8" s="3">
        <f>K8*0.2</f>
        <v/>
      </c>
      <c r="K8" s="3" t="n">
        <v>50</v>
      </c>
      <c r="L8" s="3" t="inlineStr">
        <is>
          <t>FAIR</t>
        </is>
      </c>
    </row>
    <row r="9">
      <c r="G9" s="4" t="inlineStr">
        <is>
          <t>Barrier is 6% damage / misaligned</t>
        </is>
      </c>
      <c r="H9" s="4" t="inlineStr">
        <is>
          <t xml:space="preserve">Paint peeled off / Suface cracks is 12% </t>
        </is>
      </c>
      <c r="I9" s="3">
        <f>K9*0.8</f>
        <v/>
      </c>
      <c r="J9" s="3">
        <f>K9*0.2</f>
        <v/>
      </c>
      <c r="K9" s="3" t="n">
        <v>40</v>
      </c>
      <c r="L9" s="3" t="inlineStr">
        <is>
          <t>POOR</t>
        </is>
      </c>
    </row>
    <row r="10">
      <c r="G10" s="4" t="inlineStr">
        <is>
          <t>Barrier is 7% damage / misaligned</t>
        </is>
      </c>
      <c r="H10" s="4" t="inlineStr">
        <is>
          <t xml:space="preserve">Paint peeled off / Suface cracks is 14% </t>
        </is>
      </c>
      <c r="I10" s="3">
        <f>K10*0.8</f>
        <v/>
      </c>
      <c r="J10" s="3">
        <f>K10*0.2</f>
        <v/>
      </c>
      <c r="K10" s="3" t="n">
        <v>30</v>
      </c>
      <c r="L10" s="3" t="inlineStr">
        <is>
          <t>POOR</t>
        </is>
      </c>
    </row>
    <row r="11">
      <c r="G11" s="4" t="inlineStr">
        <is>
          <t>Barrier is 8% damage / misaligned</t>
        </is>
      </c>
      <c r="H11" s="4" t="inlineStr">
        <is>
          <t xml:space="preserve">Paint peeled off / Suface cracks is 16% </t>
        </is>
      </c>
      <c r="I11" s="3">
        <f>K11*0.8</f>
        <v/>
      </c>
      <c r="J11" s="3">
        <f>K11*0.2</f>
        <v/>
      </c>
      <c r="K11" s="3" t="n">
        <v>20</v>
      </c>
      <c r="L11" s="3" t="inlineStr">
        <is>
          <t>POOR</t>
        </is>
      </c>
    </row>
    <row r="12">
      <c r="G12" s="4" t="inlineStr">
        <is>
          <t>Barrier is 9% damage / misaligned</t>
        </is>
      </c>
      <c r="H12" s="4" t="inlineStr">
        <is>
          <t xml:space="preserve">Paint peeled off / Suface cracks is 18% </t>
        </is>
      </c>
      <c r="I12" s="3">
        <f>K12*0.8</f>
        <v/>
      </c>
      <c r="J12" s="3">
        <f>K12*0.2</f>
        <v/>
      </c>
      <c r="K12" s="3" t="n">
        <v>10</v>
      </c>
      <c r="L12" s="3" t="inlineStr">
        <is>
          <t>POOR</t>
        </is>
      </c>
    </row>
    <row r="13">
      <c r="G13" s="4" t="inlineStr">
        <is>
          <t>Barrier is more than 10% damage / misaligned</t>
        </is>
      </c>
      <c r="H13" s="4" t="inlineStr">
        <is>
          <t xml:space="preserve">Paint peeled off / Suface cracks more than 20% </t>
        </is>
      </c>
      <c r="I13" s="3">
        <f>K13*0.8</f>
        <v/>
      </c>
      <c r="J13" s="3">
        <f>K13*0.2</f>
        <v/>
      </c>
      <c r="K13" s="3" t="n">
        <v>0</v>
      </c>
      <c r="L13" s="3" t="inlineStr">
        <is>
          <t>POOR</t>
        </is>
      </c>
    </row>
  </sheetData>
  <autoFilter ref="G1:L1"/>
  <mergeCells count="1">
    <mergeCell ref="A1:B1"/>
  </mergeCells>
  <dataValidations count="3">
    <dataValidation sqref="A5" showDropDown="0" showInputMessage="1" showErrorMessage="1" allowBlank="1" type="list">
      <formula1>$K$5:$K$13</formula1>
    </dataValidation>
    <dataValidation sqref="A4" showDropDown="0" showInputMessage="1" showErrorMessage="1" allowBlank="1" type="list">
      <formula1>$G$2:$G$13</formula1>
    </dataValidation>
    <dataValidation sqref="B4" showDropDown="0" showInputMessage="1" showErrorMessage="1" allowBlank="1" type="list">
      <formula1>$H$2:$H$13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I13"/>
  <sheetViews>
    <sheetView workbookViewId="0">
      <selection activeCell="F6" sqref="F6"/>
    </sheetView>
  </sheetViews>
  <sheetFormatPr baseColWidth="8" defaultRowHeight="15"/>
  <cols>
    <col width="36" bestFit="1" customWidth="1" min="1" max="1"/>
    <col width="42.42578125" customWidth="1" min="2" max="2"/>
    <col width="96.7109375" customWidth="1" style="18" min="6" max="6"/>
    <col width="19.7109375" bestFit="1" customWidth="1" min="7" max="7"/>
    <col width="10" bestFit="1" customWidth="1" min="8" max="8"/>
    <col width="10.28515625" bestFit="1" customWidth="1" min="9" max="9"/>
  </cols>
  <sheetData>
    <row r="1" ht="24" customFormat="1" customHeight="1" s="15">
      <c r="A1" s="78" t="inlineStr">
        <is>
          <t>Road Studs Asset Condition Index Calculator (ACI-SD)</t>
        </is>
      </c>
      <c r="F1" s="87" t="inlineStr">
        <is>
          <t>Functional Defects</t>
        </is>
      </c>
      <c r="G1" s="87" t="inlineStr">
        <is>
          <t>Functional Rating (F)</t>
        </is>
      </c>
      <c r="H1" s="87" t="inlineStr">
        <is>
          <t xml:space="preserve">ACI = F </t>
        </is>
      </c>
      <c r="I1" s="87" t="inlineStr">
        <is>
          <t>ACI Rating</t>
        </is>
      </c>
    </row>
    <row r="2">
      <c r="F2" s="40" t="inlineStr">
        <is>
          <t>Select Functional Defect</t>
        </is>
      </c>
      <c r="G2" s="40" t="inlineStr">
        <is>
          <t>Select Functional Defect</t>
        </is>
      </c>
      <c r="H2" s="2" t="n"/>
      <c r="I2" s="2" t="n"/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E3" s="39" t="n"/>
      <c r="F3" s="4" t="inlineStr">
        <is>
          <t>No Defect Found</t>
        </is>
      </c>
      <c r="G3" s="8" t="n">
        <v>100</v>
      </c>
      <c r="H3" s="8">
        <f>G3</f>
        <v/>
      </c>
      <c r="I3" s="10" t="inlineStr">
        <is>
          <t>GOOD</t>
        </is>
      </c>
    </row>
    <row r="4">
      <c r="A4" s="90" t="inlineStr">
        <is>
          <t>No Defect Found</t>
        </is>
      </c>
      <c r="B4" s="42" t="n"/>
      <c r="D4" s="1">
        <f>VLOOKUP(A4, F2:H13, 3,FALSE)</f>
        <v/>
      </c>
      <c r="E4" s="1" t="n"/>
      <c r="F4" s="4" t="inlineStr">
        <is>
          <t>Road Studs Minor deterioration less than 1%</t>
        </is>
      </c>
      <c r="G4" s="8" t="n">
        <v>90</v>
      </c>
      <c r="H4" s="8">
        <f>G4</f>
        <v/>
      </c>
      <c r="I4" s="10" t="inlineStr">
        <is>
          <t>GOOD</t>
        </is>
      </c>
    </row>
    <row r="5">
      <c r="F5" s="4" t="inlineStr">
        <is>
          <t>Road Studs Minor deterioration 2%</t>
        </is>
      </c>
      <c r="G5" s="8" t="n">
        <v>80</v>
      </c>
      <c r="H5" s="8">
        <f>G5</f>
        <v/>
      </c>
      <c r="I5" s="10" t="inlineStr">
        <is>
          <t>GOOD</t>
        </is>
      </c>
    </row>
    <row r="6">
      <c r="F6" s="4" t="inlineStr">
        <is>
          <t>Reflectors deteriorated and or road studs slightly disloged for one or two road studs in one location</t>
        </is>
      </c>
      <c r="G6" s="8" t="n">
        <v>70</v>
      </c>
      <c r="H6" s="8">
        <f>G6</f>
        <v/>
      </c>
      <c r="I6" s="10" t="inlineStr">
        <is>
          <t>FAIR</t>
        </is>
      </c>
    </row>
    <row r="7">
      <c r="A7" s="44" t="inlineStr">
        <is>
          <t>(ACI-SD) Value</t>
        </is>
      </c>
      <c r="B7" s="44">
        <f>IF(D4=0, 0, D4+E4)</f>
        <v/>
      </c>
      <c r="F7" s="4" t="inlineStr">
        <is>
          <t>Reflectors deteriorated and or road studs slightly disloged for one or two road studs in two separate locations</t>
        </is>
      </c>
      <c r="G7" s="8" t="n">
        <v>60</v>
      </c>
      <c r="H7" s="8">
        <f>G7</f>
        <v/>
      </c>
      <c r="I7" s="10" t="inlineStr">
        <is>
          <t>FAIR</t>
        </is>
      </c>
    </row>
    <row r="8">
      <c r="A8" s="44" t="inlineStr">
        <is>
          <t>(ACI-SD) Condition</t>
        </is>
      </c>
      <c r="B8" s="44">
        <f>IF(AND(B7&gt;=80, B7&lt;=100), "GOOD", IF(AND(B7&gt;40, B7&lt;80), "FAIR", "POOR"))</f>
        <v/>
      </c>
      <c r="F8" s="4" t="inlineStr">
        <is>
          <t>Reflectors deteriorated and or road studs slightly disloged for multiple road studs consecutively</t>
        </is>
      </c>
      <c r="G8" s="8" t="n">
        <v>50</v>
      </c>
      <c r="H8" s="8">
        <f>G8</f>
        <v/>
      </c>
      <c r="I8" s="10" t="inlineStr">
        <is>
          <t>FAIR</t>
        </is>
      </c>
    </row>
    <row r="9">
      <c r="F9" s="4" t="inlineStr">
        <is>
          <t>One or two Road studs damaged or missing in one location</t>
        </is>
      </c>
      <c r="G9" s="8" t="n">
        <v>40</v>
      </c>
      <c r="H9" s="8">
        <f>G9</f>
        <v/>
      </c>
      <c r="I9" s="10" t="inlineStr">
        <is>
          <t>POOR</t>
        </is>
      </c>
    </row>
    <row r="10">
      <c r="F10" s="4" t="inlineStr">
        <is>
          <t>Road studs damaged or missing in two separate locations</t>
        </is>
      </c>
      <c r="G10" s="8" t="n">
        <v>30</v>
      </c>
      <c r="H10" s="8">
        <f>G10</f>
        <v/>
      </c>
      <c r="I10" s="10" t="inlineStr">
        <is>
          <t>POOR</t>
        </is>
      </c>
    </row>
    <row r="11">
      <c r="F11" s="4" t="inlineStr">
        <is>
          <t>Multiple Road studs damaged or missing in two separate locations</t>
        </is>
      </c>
      <c r="G11" s="8" t="n">
        <v>20</v>
      </c>
      <c r="H11" s="8">
        <f>G11</f>
        <v/>
      </c>
      <c r="I11" s="10" t="inlineStr">
        <is>
          <t>POOR</t>
        </is>
      </c>
    </row>
    <row r="12">
      <c r="F12" s="4" t="inlineStr">
        <is>
          <t>Multiple Road studs damaged or missing in a row consecutively posing safety concerns</t>
        </is>
      </c>
      <c r="G12" s="8" t="n">
        <v>10</v>
      </c>
      <c r="H12" s="8">
        <f>G12</f>
        <v/>
      </c>
      <c r="I12" s="10" t="inlineStr">
        <is>
          <t>POOR</t>
        </is>
      </c>
    </row>
    <row r="13">
      <c r="F13" s="4" t="inlineStr">
        <is>
          <t>Completely Damaged or missing road studs in a row consecutively posing safety concerns</t>
        </is>
      </c>
      <c r="G13" s="8" t="n">
        <v>0</v>
      </c>
      <c r="H13" s="8">
        <f>G13</f>
        <v/>
      </c>
      <c r="I13" s="10" t="inlineStr">
        <is>
          <t>POOR</t>
        </is>
      </c>
    </row>
  </sheetData>
  <mergeCells count="1">
    <mergeCell ref="A1:B1"/>
  </mergeCells>
  <dataValidations count="2">
    <dataValidation sqref="A4" showDropDown="0" showInputMessage="1" showErrorMessage="1" allowBlank="1" type="list">
      <formula1>$F$2:$F$13</formula1>
    </dataValidation>
    <dataValidation sqref="A5" showDropDown="0" showInputMessage="1" showErrorMessage="1" allowBlank="1" type="list">
      <formula1>$H$6:$H$13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I13"/>
  <sheetViews>
    <sheetView zoomScaleNormal="100" workbookViewId="0">
      <selection activeCell="F21" sqref="F21"/>
    </sheetView>
  </sheetViews>
  <sheetFormatPr baseColWidth="8" defaultRowHeight="15"/>
  <cols>
    <col width="36" bestFit="1" customWidth="1" min="1" max="1"/>
    <col width="47.7109375" customWidth="1" min="2" max="2"/>
    <col width="123.7109375" bestFit="1" customWidth="1" min="6" max="6"/>
    <col width="19.7109375" bestFit="1" customWidth="1" min="7" max="7"/>
    <col width="10" bestFit="1" customWidth="1" min="8" max="8"/>
    <col width="10.28515625" bestFit="1" customWidth="1" min="9" max="9"/>
  </cols>
  <sheetData>
    <row r="1" ht="24" customFormat="1" customHeight="1" s="15">
      <c r="A1" s="78" t="inlineStr">
        <is>
          <t>Footpath Asset Condition Index Calculator (ACI-FP)</t>
        </is>
      </c>
      <c r="F1" s="29" t="inlineStr">
        <is>
          <t>Functional Defects</t>
        </is>
      </c>
      <c r="G1" s="6" t="inlineStr">
        <is>
          <t>Functional Rating (F)</t>
        </is>
      </c>
      <c r="H1" s="6" t="inlineStr">
        <is>
          <t>ACI = F</t>
        </is>
      </c>
      <c r="I1" s="6" t="inlineStr">
        <is>
          <t>ACI Rating</t>
        </is>
      </c>
    </row>
    <row r="2">
      <c r="F2" s="40" t="inlineStr">
        <is>
          <t>Select Functional Defect</t>
        </is>
      </c>
      <c r="G2" s="40" t="inlineStr">
        <is>
          <t>Select Functional Defect</t>
        </is>
      </c>
      <c r="H2" s="2" t="n"/>
      <c r="I2" s="2" t="n"/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F3" s="2" t="inlineStr">
        <is>
          <t>No Defect Found</t>
        </is>
      </c>
      <c r="G3" s="8" t="n">
        <v>100</v>
      </c>
      <c r="H3" s="8" t="n">
        <v>100</v>
      </c>
      <c r="I3" s="10" t="inlineStr">
        <is>
          <t>GOOD</t>
        </is>
      </c>
    </row>
    <row r="4" ht="60" customHeight="1">
      <c r="A4" s="90" t="inlineStr">
        <is>
          <t xml:space="preserve">Footpath has Deteriorated Pavers (Weathered / cracked / damaged) 25%, and or Depression / Settlement 25% and or Missing Pavers 25% </t>
        </is>
      </c>
      <c r="B4" s="42" t="n"/>
      <c r="D4" s="1">
        <f>VLOOKUP(A4, F3:H13, 3,FALSE)</f>
        <v/>
      </c>
      <c r="F4" s="2" t="inlineStr">
        <is>
          <t xml:space="preserve">Footpath has Deteriorated Pavers (Weathered / cracked / damaged) 1%, and or Depression / Settlement 1% and or Missing Pavers 1% </t>
        </is>
      </c>
      <c r="G4" s="8" t="n">
        <v>90</v>
      </c>
      <c r="H4" s="8" t="n">
        <v>90</v>
      </c>
      <c r="I4" s="10" t="inlineStr">
        <is>
          <t>GOOD</t>
        </is>
      </c>
    </row>
    <row r="5">
      <c r="F5" s="10" t="inlineStr">
        <is>
          <t xml:space="preserve">Footpath has Deteriorated Pavers (Weathered / cracked / damaged) 3%, and or Depression / Settlement 3% and or Missing Pavers 3% </t>
        </is>
      </c>
      <c r="G5" s="8" t="n">
        <v>80</v>
      </c>
      <c r="H5" s="8" t="n">
        <v>80</v>
      </c>
      <c r="I5" s="10" t="inlineStr">
        <is>
          <t>GOOD</t>
        </is>
      </c>
    </row>
    <row r="6">
      <c r="F6" s="2" t="inlineStr">
        <is>
          <t xml:space="preserve">Footpath has Deteriorated Pavers (Weathered / cracked / damaged) 5%, and or Depression / Settlement 5% and or Missing Pavers 5% </t>
        </is>
      </c>
      <c r="G6" s="8" t="n">
        <v>70</v>
      </c>
      <c r="H6" s="8" t="n">
        <v>70</v>
      </c>
      <c r="I6" s="10" t="inlineStr">
        <is>
          <t>FAIR</t>
        </is>
      </c>
    </row>
    <row r="7">
      <c r="A7" s="44" t="inlineStr">
        <is>
          <t>(ACI-FP) Value</t>
        </is>
      </c>
      <c r="B7" s="44">
        <f>IF(D4=0, 0, D4+E4)</f>
        <v/>
      </c>
      <c r="F7" s="2" t="inlineStr">
        <is>
          <t xml:space="preserve">Footpath has Deteriorated Pavers (Weathered / cracked / damaged) 10%, and or Depression / Settlement 10% and or Missing Pavers 10% </t>
        </is>
      </c>
      <c r="G7" s="8" t="n">
        <v>60</v>
      </c>
      <c r="H7" s="8" t="n">
        <v>60</v>
      </c>
      <c r="I7" s="10" t="inlineStr">
        <is>
          <t>FAIR</t>
        </is>
      </c>
    </row>
    <row r="8">
      <c r="A8" s="44" t="inlineStr">
        <is>
          <t>(ACI-FP) Condition</t>
        </is>
      </c>
      <c r="B8" s="44">
        <f>IF(AND(B7&gt;=80, B7&lt;=100), "GOOD", IF(AND(B7&gt;40, B7&lt;80), "FAIR", "POOR"))</f>
        <v/>
      </c>
      <c r="F8" s="2" t="inlineStr">
        <is>
          <t xml:space="preserve">Footpath has Deteriorated Pavers (Weathered / cracked / damaged) 15%, and or Depression / Settlement 15% and or Missing Pavers 15% </t>
        </is>
      </c>
      <c r="G8" s="8" t="n">
        <v>50</v>
      </c>
      <c r="H8" s="8" t="n">
        <v>50</v>
      </c>
      <c r="I8" s="10" t="inlineStr">
        <is>
          <t>FAIR</t>
        </is>
      </c>
    </row>
    <row r="9">
      <c r="F9" s="2" t="inlineStr">
        <is>
          <t xml:space="preserve">Footpath has Deteriorated Pavers (Weathered / cracked / damaged) 20%, and or Depression / Settlement 20% and or Missing Pavers 20% </t>
        </is>
      </c>
      <c r="G9" s="8" t="n">
        <v>40</v>
      </c>
      <c r="H9" s="8" t="n">
        <v>40</v>
      </c>
      <c r="I9" s="10" t="inlineStr">
        <is>
          <t>POOR</t>
        </is>
      </c>
    </row>
    <row r="10">
      <c r="F10" s="2" t="inlineStr">
        <is>
          <t xml:space="preserve">Footpath has Deteriorated Pavers (Weathered / cracked / damaged) 25%, and or Depression / Settlement 25% and or Missing Pavers 25% </t>
        </is>
      </c>
      <c r="G10" s="8" t="n">
        <v>30</v>
      </c>
      <c r="H10" s="8" t="n">
        <v>30</v>
      </c>
      <c r="I10" s="10" t="inlineStr">
        <is>
          <t>POOR</t>
        </is>
      </c>
    </row>
    <row r="11">
      <c r="F11" s="2" t="inlineStr">
        <is>
          <t xml:space="preserve">Footpath has Deteriorated Pavers (Weathered / cracked / damaged) 30%, and or Depression / Settlement 30% and or Missing Pavers 30% </t>
        </is>
      </c>
      <c r="G11" s="8" t="n">
        <v>20</v>
      </c>
      <c r="H11" s="8" t="n">
        <v>20</v>
      </c>
      <c r="I11" s="10" t="inlineStr">
        <is>
          <t>POOR</t>
        </is>
      </c>
    </row>
    <row r="12">
      <c r="F12" s="2" t="inlineStr">
        <is>
          <t xml:space="preserve">Footpath has Deteriorated Pavers (Weathered / cracked / damaged) 35%, and or Depression / Settlement 35% and or Missing Pavers 35% </t>
        </is>
      </c>
      <c r="G12" s="8" t="n">
        <v>10</v>
      </c>
      <c r="H12" s="8" t="n">
        <v>10</v>
      </c>
      <c r="I12" s="10" t="inlineStr">
        <is>
          <t>POOR</t>
        </is>
      </c>
    </row>
    <row r="13">
      <c r="F13" s="2" t="inlineStr">
        <is>
          <t xml:space="preserve">Footpath has Deteriorated Pavers (Weathered / cracked / damaged) 40%, and or Depression / Settlement 40% and or Missing Pavers 40% </t>
        </is>
      </c>
      <c r="G13" s="8" t="n">
        <v>0</v>
      </c>
      <c r="H13" s="8" t="n">
        <v>0</v>
      </c>
      <c r="I13" s="10" t="inlineStr">
        <is>
          <t>POOR</t>
        </is>
      </c>
    </row>
  </sheetData>
  <autoFilter ref="F1:I1">
    <sortState ref="F2:I12">
      <sortCondition descending="1" ref="H1"/>
    </sortState>
  </autoFilter>
  <mergeCells count="1">
    <mergeCell ref="A1:B1"/>
  </mergeCells>
  <dataValidations count="2">
    <dataValidation sqref="A5" showDropDown="0" showInputMessage="1" showErrorMessage="1" allowBlank="1" type="list">
      <formula1>$H$7:$H$13</formula1>
    </dataValidation>
    <dataValidation sqref="A4" showDropDown="0" showInputMessage="1" showErrorMessage="1" allowBlank="1" type="list">
      <formula1>$F$2:$F$13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L13"/>
  <sheetViews>
    <sheetView workbookViewId="0">
      <selection activeCell="A1" sqref="A1:E8"/>
    </sheetView>
  </sheetViews>
  <sheetFormatPr baseColWidth="8" defaultRowHeight="15"/>
  <cols>
    <col width="36" bestFit="1" customWidth="1" min="1" max="1"/>
    <col width="42.140625" customWidth="1" min="2" max="2"/>
    <col width="54.85546875" bestFit="1" customWidth="1" style="18" min="7" max="7"/>
    <col width="43.7109375" bestFit="1" customWidth="1" style="18" min="8" max="8"/>
    <col width="19.7109375" bestFit="1" customWidth="1" min="9" max="9"/>
    <col width="21" bestFit="1" customWidth="1" min="10" max="10"/>
    <col width="10.140625" bestFit="1" customWidth="1" min="11" max="11"/>
    <col width="10.28515625" bestFit="1" customWidth="1" min="12" max="12"/>
  </cols>
  <sheetData>
    <row r="1" ht="24" customFormat="1" customHeight="1" s="23">
      <c r="A1" s="78" t="inlineStr">
        <is>
          <t>Road Hump Asset Condition Index Calculator (ACI-RH)</t>
        </is>
      </c>
      <c r="G1" s="6" t="inlineStr">
        <is>
          <t>Structural Defects</t>
        </is>
      </c>
      <c r="H1" s="6" t="inlineStr">
        <is>
          <t>Appearance Defects</t>
        </is>
      </c>
      <c r="I1" s="6" t="inlineStr">
        <is>
          <t>Structural Rating (S)</t>
        </is>
      </c>
      <c r="J1" s="6" t="inlineStr">
        <is>
          <t>Appearance Rating (A)</t>
        </is>
      </c>
      <c r="K1" s="6" t="inlineStr">
        <is>
          <t>ACI = S + A</t>
        </is>
      </c>
      <c r="L1" s="6" t="inlineStr">
        <is>
          <t>ACI Rating</t>
        </is>
      </c>
    </row>
    <row r="2" customFormat="1" s="23">
      <c r="G2" s="40" t="inlineStr">
        <is>
          <t>Select Functional Defect</t>
        </is>
      </c>
      <c r="H2" s="40" t="inlineStr">
        <is>
          <t>Select Appearance Defects</t>
        </is>
      </c>
      <c r="I2" s="35" t="inlineStr">
        <is>
          <t>Please select Appropriate Functional and Appearance Defects</t>
        </is>
      </c>
      <c r="J2" s="35" t="inlineStr">
        <is>
          <t>Please select Appropriate Functional and Appearance Defects</t>
        </is>
      </c>
      <c r="K2" s="2" t="n"/>
      <c r="L2" s="2" t="n"/>
    </row>
    <row r="3">
      <c r="A3" s="87" t="inlineStr">
        <is>
          <t>Select Appropriate Structural Defects</t>
        </is>
      </c>
      <c r="B3" s="87" t="inlineStr">
        <is>
          <t>Select Appropriate Appearance Defects</t>
        </is>
      </c>
      <c r="D3" s="39" t="inlineStr">
        <is>
          <t>F</t>
        </is>
      </c>
      <c r="E3" s="39" t="inlineStr">
        <is>
          <t>A</t>
        </is>
      </c>
      <c r="G3" s="2" t="inlineStr">
        <is>
          <t>No Defect Found</t>
        </is>
      </c>
      <c r="H3" s="2" t="inlineStr">
        <is>
          <t>No Defect Found</t>
        </is>
      </c>
      <c r="I3" s="8" t="n">
        <v>50</v>
      </c>
      <c r="J3" s="8" t="n">
        <v>50</v>
      </c>
      <c r="K3" s="8">
        <f>I3+J3</f>
        <v/>
      </c>
      <c r="L3" s="10" t="inlineStr">
        <is>
          <t>GOOD</t>
        </is>
      </c>
    </row>
    <row r="4">
      <c r="A4" s="42" t="inlineStr">
        <is>
          <t>No Defect Found</t>
        </is>
      </c>
      <c r="B4" s="42" t="inlineStr">
        <is>
          <t>No Defect Found</t>
        </is>
      </c>
      <c r="D4" s="1">
        <f>VLOOKUP(A4, G1:I13, 3,FALSE)</f>
        <v/>
      </c>
      <c r="E4" s="1">
        <f>VLOOKUP(B4, H1:J13, 3, FALSE)</f>
        <v/>
      </c>
      <c r="G4" s="2" t="inlineStr">
        <is>
          <t>Minor Deterioration 1%</t>
        </is>
      </c>
      <c r="H4" s="2" t="inlineStr">
        <is>
          <t xml:space="preserve">Paint Faded and or deteriorated 1% </t>
        </is>
      </c>
      <c r="I4" s="8" t="n">
        <v>45</v>
      </c>
      <c r="J4" s="8" t="n">
        <v>45</v>
      </c>
      <c r="K4" s="8">
        <f>I4+J4</f>
        <v/>
      </c>
      <c r="L4" s="10" t="inlineStr">
        <is>
          <t>GOOD</t>
        </is>
      </c>
    </row>
    <row r="5">
      <c r="G5" s="2" t="inlineStr">
        <is>
          <t>Minor Deterioration 2%</t>
        </is>
      </c>
      <c r="H5" s="2" t="inlineStr">
        <is>
          <t xml:space="preserve">Paint Faded and or deteriorated 2% </t>
        </is>
      </c>
      <c r="I5" s="8" t="n">
        <v>40</v>
      </c>
      <c r="J5" s="8" t="n">
        <v>40</v>
      </c>
      <c r="K5" s="8">
        <f>I5+J5</f>
        <v/>
      </c>
      <c r="L5" s="10" t="inlineStr">
        <is>
          <t>GOOD</t>
        </is>
      </c>
    </row>
    <row r="6">
      <c r="G6" s="2" t="inlineStr">
        <is>
          <t>Low Depression and or other deteriorations 5%</t>
        </is>
      </c>
      <c r="H6" s="2" t="inlineStr">
        <is>
          <t xml:space="preserve">Paint Faded and or deteriorated 5% </t>
        </is>
      </c>
      <c r="I6" s="8" t="n">
        <v>35</v>
      </c>
      <c r="J6" s="8" t="n">
        <v>35</v>
      </c>
      <c r="K6" s="8">
        <f>I6+J6</f>
        <v/>
      </c>
      <c r="L6" s="10" t="inlineStr">
        <is>
          <t>FAIR</t>
        </is>
      </c>
    </row>
    <row r="7">
      <c r="A7" s="44" t="inlineStr">
        <is>
          <t>(ACI-RH) Value</t>
        </is>
      </c>
      <c r="B7" s="44">
        <f>IF(OR(D4=0,E4=0), 0, D4+E4)</f>
        <v/>
      </c>
      <c r="G7" s="2" t="inlineStr">
        <is>
          <t>Low Depression and or other deteriorations 10%</t>
        </is>
      </c>
      <c r="H7" s="2" t="inlineStr">
        <is>
          <t xml:space="preserve">Paint Faded and or deteriorated 10% </t>
        </is>
      </c>
      <c r="I7" s="8" t="n">
        <v>30</v>
      </c>
      <c r="J7" s="8" t="n">
        <v>30</v>
      </c>
      <c r="K7" s="8">
        <f>I7+J7</f>
        <v/>
      </c>
      <c r="L7" s="10" t="inlineStr">
        <is>
          <t>FAIR</t>
        </is>
      </c>
    </row>
    <row r="8">
      <c r="A8" s="44" t="inlineStr">
        <is>
          <t>(ACI-RH) Condition</t>
        </is>
      </c>
      <c r="B8" s="44">
        <f>IF(AND(B7&gt;=80, B7&lt;=100), "GOOD", IF(AND(B7&gt;40, B7&lt;80), "FAIR", "POOR"))</f>
        <v/>
      </c>
      <c r="G8" s="2" t="inlineStr">
        <is>
          <t>Low Depression and or other deteriorations 15%</t>
        </is>
      </c>
      <c r="H8" s="2" t="inlineStr">
        <is>
          <t xml:space="preserve">Paint Faded and or deteriorated 15% </t>
        </is>
      </c>
      <c r="I8" s="8" t="n">
        <v>25</v>
      </c>
      <c r="J8" s="8" t="n">
        <v>25</v>
      </c>
      <c r="K8" s="8">
        <f>I8+J8</f>
        <v/>
      </c>
      <c r="L8" s="10" t="inlineStr">
        <is>
          <t>FAIR</t>
        </is>
      </c>
    </row>
    <row r="9">
      <c r="G9" s="2" t="inlineStr">
        <is>
          <t>Medium Depression and or other  deteriorations 20%</t>
        </is>
      </c>
      <c r="H9" s="2" t="inlineStr">
        <is>
          <t xml:space="preserve">Paint Faded and or deteriorated 20% </t>
        </is>
      </c>
      <c r="I9" s="8" t="n">
        <v>20</v>
      </c>
      <c r="J9" s="8" t="n">
        <v>20</v>
      </c>
      <c r="K9" s="8">
        <f>I9+J9</f>
        <v/>
      </c>
      <c r="L9" s="10" t="inlineStr">
        <is>
          <t>POOR</t>
        </is>
      </c>
    </row>
    <row r="10">
      <c r="G10" s="2" t="inlineStr">
        <is>
          <t>Medium Depression and or other deteriorations 25%</t>
        </is>
      </c>
      <c r="H10" s="2" t="inlineStr">
        <is>
          <t xml:space="preserve">Paint Faded and or deteriorated 25% </t>
        </is>
      </c>
      <c r="I10" s="8" t="n">
        <v>15</v>
      </c>
      <c r="J10" s="8" t="n">
        <v>15</v>
      </c>
      <c r="K10" s="8">
        <f>I10+J10</f>
        <v/>
      </c>
      <c r="L10" s="10" t="inlineStr">
        <is>
          <t>POOR</t>
        </is>
      </c>
    </row>
    <row r="11">
      <c r="G11" s="2" t="inlineStr">
        <is>
          <t>High Depression and or other deteriorations 30%</t>
        </is>
      </c>
      <c r="H11" s="2" t="inlineStr">
        <is>
          <t xml:space="preserve">Paint Faded and or deteriorated 30% </t>
        </is>
      </c>
      <c r="I11" s="8" t="n">
        <v>10</v>
      </c>
      <c r="J11" s="8" t="n">
        <v>10</v>
      </c>
      <c r="K11" s="8">
        <f>I11+J11</f>
        <v/>
      </c>
      <c r="L11" s="10" t="inlineStr">
        <is>
          <t>POOR</t>
        </is>
      </c>
    </row>
    <row r="12">
      <c r="G12" s="2" t="inlineStr">
        <is>
          <t>High Depression and or other deteriorations 35%</t>
        </is>
      </c>
      <c r="H12" s="2" t="inlineStr">
        <is>
          <t xml:space="preserve">Paint Faded and or deteriorated 35% </t>
        </is>
      </c>
      <c r="I12" s="8" t="n">
        <v>5</v>
      </c>
      <c r="J12" s="8" t="n">
        <v>5</v>
      </c>
      <c r="K12" s="8">
        <f>I12+J12</f>
        <v/>
      </c>
      <c r="L12" s="10" t="inlineStr">
        <is>
          <t>POOR</t>
        </is>
      </c>
    </row>
    <row r="13">
      <c r="G13" s="2" t="inlineStr">
        <is>
          <t>High Depression and or other deteriorations more than 40%</t>
        </is>
      </c>
      <c r="H13" s="2" t="inlineStr">
        <is>
          <t xml:space="preserve">Paint Faded and or deteriorated more than 40% </t>
        </is>
      </c>
      <c r="I13" s="8" t="n">
        <v>0</v>
      </c>
      <c r="J13" s="8" t="n">
        <v>0</v>
      </c>
      <c r="K13" s="8">
        <f>I13+J13</f>
        <v/>
      </c>
      <c r="L13" s="10" t="inlineStr">
        <is>
          <t>POOR</t>
        </is>
      </c>
    </row>
  </sheetData>
  <autoFilter ref="G1:L1">
    <sortState ref="G2:L12">
      <sortCondition descending="1" ref="K1"/>
    </sortState>
  </autoFilter>
  <mergeCells count="1">
    <mergeCell ref="A1:B1"/>
  </mergeCells>
  <dataValidations count="3">
    <dataValidation sqref="A5" showDropDown="0" showInputMessage="1" showErrorMessage="1" allowBlank="1" type="list">
      <formula1>$K$4:$K$12</formula1>
    </dataValidation>
    <dataValidation sqref="A4" showDropDown="0" showInputMessage="1" showErrorMessage="1" allowBlank="1" type="list">
      <formula1>$G$2:$G$13</formula1>
    </dataValidation>
    <dataValidation sqref="B4" showDropDown="0" showInputMessage="1" showErrorMessage="1" allowBlank="1" type="list">
      <formula1>$H$2:$H$13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V21"/>
  <sheetViews>
    <sheetView zoomScale="85" zoomScaleNormal="85" workbookViewId="0">
      <selection activeCell="F21" sqref="F21"/>
    </sheetView>
  </sheetViews>
  <sheetFormatPr baseColWidth="8" defaultRowHeight="15"/>
  <cols>
    <col width="51.42578125" bestFit="1" customWidth="1" min="1" max="1"/>
    <col width="23.5703125" bestFit="1" customWidth="1" min="2" max="2"/>
    <col width="23" bestFit="1" customWidth="1" min="3" max="3"/>
    <col width="40.85546875" bestFit="1" customWidth="1" min="4" max="4"/>
    <col width="11.28515625" bestFit="1" customWidth="1" min="6" max="6"/>
    <col width="5.7109375" customWidth="1" min="7" max="9"/>
    <col width="78.28515625" bestFit="1" customWidth="1" min="12" max="12"/>
    <col width="23.85546875" bestFit="1" customWidth="1" min="13" max="13"/>
    <col width="34.28515625" bestFit="1" customWidth="1" min="14" max="14"/>
    <col width="22.42578125" bestFit="1" customWidth="1" min="15" max="15"/>
    <col width="21.140625" bestFit="1" customWidth="1" min="16" max="16"/>
    <col width="22.28515625" bestFit="1" customWidth="1" min="17" max="17"/>
    <col width="26.42578125" bestFit="1" customWidth="1" min="18" max="18"/>
    <col width="11.28515625" bestFit="1" customWidth="1" style="1" min="19" max="19"/>
    <col width="9.140625" customWidth="1" style="1" min="21" max="22"/>
  </cols>
  <sheetData>
    <row r="1" ht="23.25" customFormat="1" customHeight="1" s="30">
      <c r="A1" s="80" t="inlineStr">
        <is>
          <t>Pedestrian Crosssing  Asset Condition Index Calculator (ACI-PC)</t>
        </is>
      </c>
      <c r="E1" s="80" t="n"/>
      <c r="L1" s="24" t="inlineStr">
        <is>
          <t>Structural Defects</t>
        </is>
      </c>
      <c r="M1" s="24" t="inlineStr">
        <is>
          <t>Visibility  Defects</t>
        </is>
      </c>
      <c r="N1" s="24" t="inlineStr">
        <is>
          <t>Presence Defects</t>
        </is>
      </c>
      <c r="O1" s="24" t="inlineStr">
        <is>
          <t>Structural Defects (S)</t>
        </is>
      </c>
      <c r="P1" s="24" t="inlineStr">
        <is>
          <t>Visibility Defects (V)</t>
        </is>
      </c>
      <c r="Q1" s="24" t="inlineStr">
        <is>
          <t>Presence Defects  (P)</t>
        </is>
      </c>
      <c r="R1" s="24" t="inlineStr">
        <is>
          <t>ACI =0.5*(S)+0.5*(V+P)</t>
        </is>
      </c>
      <c r="S1" s="24" t="inlineStr">
        <is>
          <t>ACI Rating</t>
        </is>
      </c>
      <c r="U1" s="31" t="n"/>
      <c r="V1" s="31" t="n"/>
    </row>
    <row r="2" ht="21" customHeight="1">
      <c r="L2" s="2" t="inlineStr">
        <is>
          <t>No Defect Found</t>
        </is>
      </c>
      <c r="M2" s="2" t="inlineStr">
        <is>
          <t>No Defect Found</t>
        </is>
      </c>
      <c r="N2" s="2" t="inlineStr">
        <is>
          <t>No Defect Found</t>
        </is>
      </c>
      <c r="O2" s="8" t="n">
        <v>100</v>
      </c>
      <c r="P2" s="8" t="n">
        <v>70</v>
      </c>
      <c r="Q2" s="8" t="n">
        <v>30</v>
      </c>
      <c r="R2" s="8">
        <f>0.5*O2+0.5*(P2+Q2)</f>
        <v/>
      </c>
      <c r="S2" s="8" t="inlineStr">
        <is>
          <t>GOOD</t>
        </is>
      </c>
    </row>
    <row r="3" ht="24.95" customHeight="1">
      <c r="A3" s="81" t="inlineStr">
        <is>
          <t>A. For Raised Pedestrian Crossing</t>
        </is>
      </c>
      <c r="E3" s="81" t="n"/>
      <c r="G3" s="39" t="n"/>
      <c r="H3" s="39" t="n"/>
      <c r="L3" s="2" t="inlineStr">
        <is>
          <t>Minor Deterioration less than 1%</t>
        </is>
      </c>
      <c r="M3" s="2" t="inlineStr">
        <is>
          <t xml:space="preserve">Visibility is 98% </t>
        </is>
      </c>
      <c r="N3" s="2" t="inlineStr">
        <is>
          <t xml:space="preserve">Marking is faded / peeled of 5% </t>
        </is>
      </c>
      <c r="O3" s="8" t="n">
        <v>90</v>
      </c>
      <c r="P3" s="8" t="n">
        <v>62.99999999999999</v>
      </c>
      <c r="Q3" s="8" t="n">
        <v>27</v>
      </c>
      <c r="R3" s="8">
        <f>0.5*O3+0.5*(P3+Q3)</f>
        <v/>
      </c>
      <c r="S3" s="8" t="inlineStr">
        <is>
          <t>GOOD</t>
        </is>
      </c>
    </row>
    <row r="4" ht="21" customHeight="1">
      <c r="G4" s="1" t="n"/>
      <c r="H4" s="1" t="n"/>
      <c r="L4" s="2" t="inlineStr">
        <is>
          <t>Minor Deterioration 3%</t>
        </is>
      </c>
      <c r="M4" s="2" t="inlineStr">
        <is>
          <t xml:space="preserve">Visibility is 95% </t>
        </is>
      </c>
      <c r="N4" s="2" t="inlineStr">
        <is>
          <t xml:space="preserve">Marking is faded / peeled of 10% </t>
        </is>
      </c>
      <c r="O4" s="8" t="n">
        <v>80</v>
      </c>
      <c r="P4" s="8" t="n">
        <v>56</v>
      </c>
      <c r="Q4" s="8" t="n">
        <v>24</v>
      </c>
      <c r="R4" s="8">
        <f>0.5*O4+0.5*(P4+Q4)</f>
        <v/>
      </c>
      <c r="S4" s="8" t="inlineStr">
        <is>
          <t>GOOD</t>
        </is>
      </c>
    </row>
    <row r="5" ht="21" customHeight="1">
      <c r="A5" s="84" t="inlineStr">
        <is>
          <t>Select Structural Defects</t>
        </is>
      </c>
      <c r="B5" s="84" t="inlineStr">
        <is>
          <t>Select Pedestrian Marking  Defects</t>
        </is>
      </c>
      <c r="C5" s="97" t="n"/>
      <c r="D5" s="98" t="n"/>
      <c r="E5" s="59" t="n"/>
      <c r="L5" s="2" t="inlineStr">
        <is>
          <t>Minor Depression and or minor paver damages and or other minor deteriorations 5%</t>
        </is>
      </c>
      <c r="M5" s="2" t="inlineStr">
        <is>
          <t xml:space="preserve">Visibility is 90% </t>
        </is>
      </c>
      <c r="N5" s="2" t="inlineStr">
        <is>
          <t xml:space="preserve">Marking is faded / peeled of 15% </t>
        </is>
      </c>
      <c r="O5" s="8" t="n">
        <v>70</v>
      </c>
      <c r="P5" s="8" t="n">
        <v>49</v>
      </c>
      <c r="Q5" s="8" t="n">
        <v>21</v>
      </c>
      <c r="R5" s="8">
        <f>0.5*O5+0.5*(P5+Q5)</f>
        <v/>
      </c>
      <c r="S5" s="8" t="inlineStr">
        <is>
          <t>FAIR</t>
        </is>
      </c>
    </row>
    <row r="6" ht="21" customHeight="1">
      <c r="A6" s="99" t="n"/>
      <c r="B6" s="84" t="inlineStr">
        <is>
          <t>Select Visibility Defects</t>
        </is>
      </c>
      <c r="C6" s="98" t="n"/>
      <c r="D6" s="84" t="inlineStr">
        <is>
          <t>Select Presence Defects</t>
        </is>
      </c>
      <c r="L6" s="2" t="inlineStr">
        <is>
          <t>Minor Depression and or minor paver damages and or other minor deteriorations 10%</t>
        </is>
      </c>
      <c r="M6" s="2" t="inlineStr">
        <is>
          <t xml:space="preserve">Visibility is 85% </t>
        </is>
      </c>
      <c r="N6" s="2" t="inlineStr">
        <is>
          <t xml:space="preserve">Marking is faded / peeled of 20% </t>
        </is>
      </c>
      <c r="O6" s="8" t="n">
        <v>60</v>
      </c>
      <c r="P6" s="8" t="n">
        <v>42</v>
      </c>
      <c r="Q6" s="8" t="n">
        <v>18</v>
      </c>
      <c r="R6" s="8">
        <f>0.5*O6+0.5*(P6+Q6)</f>
        <v/>
      </c>
      <c r="S6" s="8" t="inlineStr">
        <is>
          <t>FAIR</t>
        </is>
      </c>
    </row>
    <row r="7" ht="35.25" customHeight="1">
      <c r="A7" s="90" t="inlineStr">
        <is>
          <t>Depression and or  paver damages and or other deteriorations 20%</t>
        </is>
      </c>
      <c r="B7" s="90" t="inlineStr">
        <is>
          <t xml:space="preserve">Visibility is 70% </t>
        </is>
      </c>
      <c r="C7" s="98" t="n"/>
      <c r="D7" s="90" t="inlineStr">
        <is>
          <t xml:space="preserve">Marking is faded / peeled of 40% </t>
        </is>
      </c>
      <c r="G7" s="63" t="inlineStr">
        <is>
          <t>S</t>
        </is>
      </c>
      <c r="H7" s="63" t="inlineStr">
        <is>
          <t>V</t>
        </is>
      </c>
      <c r="I7" s="63" t="inlineStr">
        <is>
          <t>P</t>
        </is>
      </c>
      <c r="L7" s="2" t="inlineStr">
        <is>
          <t>Minor Depression and or minor paver damages and or other minor deteriorations 15%</t>
        </is>
      </c>
      <c r="M7" s="2" t="inlineStr">
        <is>
          <t xml:space="preserve">Visibility is 75% </t>
        </is>
      </c>
      <c r="N7" s="2" t="inlineStr">
        <is>
          <t xml:space="preserve">Marking is faded / peeled of 40% </t>
        </is>
      </c>
      <c r="O7" s="8" t="n">
        <v>50</v>
      </c>
      <c r="P7" s="8" t="n">
        <v>35</v>
      </c>
      <c r="Q7" s="8" t="n">
        <v>15</v>
      </c>
      <c r="R7" s="8">
        <f>0.5*O7+0.5*(P7+Q7)</f>
        <v/>
      </c>
      <c r="S7" s="8" t="inlineStr">
        <is>
          <t>FAIR</t>
        </is>
      </c>
    </row>
    <row r="8" ht="21" customHeight="1">
      <c r="G8" s="7">
        <f>VLOOKUP(A7, L2:O12,4, FALSE)</f>
        <v/>
      </c>
      <c r="H8" s="7">
        <f>VLOOKUP(B7, M2:Q12, 4, FALSE)</f>
        <v/>
      </c>
      <c r="I8" s="7">
        <f>VLOOKUP(D7, N2:Q12, 4, FALSE)</f>
        <v/>
      </c>
      <c r="L8" s="2" t="inlineStr">
        <is>
          <t>Depression and or  paver damages and or other deteriorations 20%</t>
        </is>
      </c>
      <c r="M8" s="2" t="inlineStr">
        <is>
          <t xml:space="preserve">Visibility is 70% </t>
        </is>
      </c>
      <c r="N8" s="2" t="inlineStr">
        <is>
          <t xml:space="preserve">Marking is faded / peeled of 60% </t>
        </is>
      </c>
      <c r="O8" s="8" t="n">
        <v>40</v>
      </c>
      <c r="P8" s="8" t="n">
        <v>28</v>
      </c>
      <c r="Q8" s="8" t="n">
        <v>12</v>
      </c>
      <c r="R8" s="8">
        <f>0.5*O8+0.5*(P8+Q8)</f>
        <v/>
      </c>
      <c r="S8" s="8" t="inlineStr">
        <is>
          <t>POOR</t>
        </is>
      </c>
    </row>
    <row r="9" ht="21" customHeight="1">
      <c r="L9" s="2" t="inlineStr">
        <is>
          <t>Depression and or  paver damages and or other deteriorations 25%</t>
        </is>
      </c>
      <c r="M9" s="2" t="inlineStr">
        <is>
          <t xml:space="preserve">Visibility is 65% </t>
        </is>
      </c>
      <c r="N9" s="2" t="inlineStr">
        <is>
          <t xml:space="preserve">Marking is faded / peeled of 65% </t>
        </is>
      </c>
      <c r="O9" s="8" t="n">
        <v>30</v>
      </c>
      <c r="P9" s="8" t="n">
        <v>21</v>
      </c>
      <c r="Q9" s="8" t="n">
        <v>9</v>
      </c>
      <c r="R9" s="8">
        <f>0.5*O9+0.5*(P9+Q9)</f>
        <v/>
      </c>
      <c r="S9" s="8" t="inlineStr">
        <is>
          <t>POOR</t>
        </is>
      </c>
    </row>
    <row r="10" ht="24.75" customHeight="1">
      <c r="A10" s="64" t="inlineStr">
        <is>
          <t>(ACI-PC) Value</t>
        </is>
      </c>
      <c r="B10" s="65">
        <f>IF(OR(G8=0, H8=0, I8=0), 0, ROUND(0.5*G8 + 0.5*(H8+I8), 0))</f>
        <v/>
      </c>
      <c r="L10" s="2" t="inlineStr">
        <is>
          <t>Depression and or  paver damages and or other deteriorations 30%</t>
        </is>
      </c>
      <c r="M10" s="2" t="inlineStr">
        <is>
          <t xml:space="preserve">Visibility is 60% </t>
        </is>
      </c>
      <c r="N10" s="2" t="inlineStr">
        <is>
          <t xml:space="preserve">Marking is faded / peeled of 70% </t>
        </is>
      </c>
      <c r="O10" s="8" t="n">
        <v>20</v>
      </c>
      <c r="P10" s="8" t="n">
        <v>14</v>
      </c>
      <c r="Q10" s="8" t="n">
        <v>6</v>
      </c>
      <c r="R10" s="8">
        <f>0.5*O10+0.5*(P10+Q10)</f>
        <v/>
      </c>
      <c r="S10" s="8" t="inlineStr">
        <is>
          <t>POOR</t>
        </is>
      </c>
    </row>
    <row r="11" ht="26.25" customHeight="1">
      <c r="A11" s="64" t="inlineStr">
        <is>
          <t>(ACI-PC) Condition</t>
        </is>
      </c>
      <c r="B11" s="65">
        <f>IF(AND(B10&gt;=80, B10&lt;=100), "GOOD", IF(AND(B10&gt;40, B10&lt;80), "FAIR", "POOR"))</f>
        <v/>
      </c>
      <c r="C11" s="59" t="n"/>
      <c r="D11" s="59" t="n"/>
      <c r="H11" s="39" t="n"/>
      <c r="L11" s="2" t="inlineStr">
        <is>
          <t>Depression and or  paver damages and or other deteriorations 35%</t>
        </is>
      </c>
      <c r="M11" s="2" t="inlineStr">
        <is>
          <t xml:space="preserve">Visibility is 55% </t>
        </is>
      </c>
      <c r="N11" s="2" t="inlineStr">
        <is>
          <t xml:space="preserve">Marking is faded / peeled of 75% </t>
        </is>
      </c>
      <c r="O11" s="8" t="n">
        <v>10</v>
      </c>
      <c r="P11" s="8" t="n">
        <v>7</v>
      </c>
      <c r="Q11" s="8" t="n">
        <v>3</v>
      </c>
      <c r="R11" s="8">
        <f>0.5*O11+0.5*(P11+Q11)</f>
        <v/>
      </c>
      <c r="S11" s="8" t="inlineStr">
        <is>
          <t>POOR</t>
        </is>
      </c>
    </row>
    <row r="12" ht="21" customHeight="1">
      <c r="A12" s="42" t="n"/>
      <c r="B12" s="7" t="n"/>
      <c r="C12" s="7" t="n"/>
      <c r="D12" s="42" t="n"/>
      <c r="H12" s="7" t="n"/>
      <c r="L12" s="2" t="inlineStr">
        <is>
          <t>Depression and or  paver damages and or other deteriorations more than 40%</t>
        </is>
      </c>
      <c r="M12" s="2" t="inlineStr">
        <is>
          <t xml:space="preserve">Visibility is less than 40% </t>
        </is>
      </c>
      <c r="N12" s="2" t="inlineStr">
        <is>
          <t xml:space="preserve">Marking is more than 80% not visible </t>
        </is>
      </c>
      <c r="O12" s="8" t="n">
        <v>0</v>
      </c>
      <c r="P12" s="8" t="n">
        <v>0</v>
      </c>
      <c r="Q12" s="8" t="n">
        <v>0</v>
      </c>
      <c r="R12" s="8">
        <f>0.5*O12+0.5*(P12+Q12)</f>
        <v/>
      </c>
      <c r="S12" s="8" t="inlineStr">
        <is>
          <t>POOR</t>
        </is>
      </c>
    </row>
    <row r="13"/>
    <row r="14" ht="24.95" customHeight="1">
      <c r="A14" s="81" t="inlineStr">
        <is>
          <t>B. For Levelled Pedestrian Crossing</t>
        </is>
      </c>
      <c r="B14" s="81" t="n"/>
      <c r="C14" s="81" t="n"/>
      <c r="D14" s="81" t="n"/>
      <c r="E14" s="81" t="n"/>
    </row>
    <row r="15">
      <c r="G15" s="63" t="inlineStr">
        <is>
          <t>V</t>
        </is>
      </c>
      <c r="H15" s="63" t="inlineStr">
        <is>
          <t>P</t>
        </is>
      </c>
    </row>
    <row r="16" ht="26.25" customHeight="1">
      <c r="A16" s="84" t="inlineStr">
        <is>
          <t>Select Pedestrian Marking  Defects</t>
        </is>
      </c>
      <c r="B16" s="98" t="n"/>
      <c r="C16" s="67" t="n"/>
      <c r="D16" s="67" t="n"/>
      <c r="E16" s="67" t="n"/>
      <c r="G16" s="7">
        <f>VLOOKUP(A18, M2:P12, 4, FALSE)</f>
        <v/>
      </c>
      <c r="H16" s="7">
        <f>VLOOKUP(B18, N2:Q12, 4, FALSE)</f>
        <v/>
      </c>
    </row>
    <row r="17" ht="30" customHeight="1">
      <c r="A17" s="66" t="inlineStr">
        <is>
          <t>Select Visibility Defects</t>
        </is>
      </c>
      <c r="B17" s="66" t="inlineStr">
        <is>
          <t>Select Presence Defects</t>
        </is>
      </c>
      <c r="C17" s="67" t="n"/>
      <c r="G17" s="39" t="n"/>
      <c r="H17" s="39" t="n"/>
    </row>
    <row r="18" ht="24.75" customHeight="1">
      <c r="A18" s="17" t="inlineStr">
        <is>
          <t>No Defect Found</t>
        </is>
      </c>
      <c r="B18" s="17" t="inlineStr">
        <is>
          <t>No Defect Found</t>
        </is>
      </c>
      <c r="C18" s="27" t="n"/>
      <c r="D18" s="42" t="n"/>
      <c r="G18" s="7" t="n"/>
      <c r="H18" s="7" t="n"/>
    </row>
    <row r="19"/>
    <row r="20" ht="25.5" customHeight="1">
      <c r="A20" s="64" t="inlineStr">
        <is>
          <t>(ACI-PC) Value</t>
        </is>
      </c>
      <c r="B20" s="65">
        <f>IF(OR(G16=0,H16=0),0,G16+H16)</f>
        <v/>
      </c>
    </row>
    <row r="21" ht="24" customHeight="1">
      <c r="A21" s="64" t="inlineStr">
        <is>
          <t>(ACI-PC) Condition</t>
        </is>
      </c>
      <c r="B21" s="65">
        <f>IF(AND(B20&gt;=80, B20&lt;=100), "GOOD", IF(AND(B20&gt;40, B20&lt;80), "FAIR", "POOR"))</f>
        <v/>
      </c>
    </row>
    <row r="22" ht="15" customHeight="1"/>
  </sheetData>
  <autoFilter ref="L1:V1">
    <sortState ref="L2:V12">
      <sortCondition descending="1" ref="R1"/>
    </sortState>
  </autoFilter>
  <mergeCells count="7">
    <mergeCell ref="A5:A6"/>
    <mergeCell ref="A1:D1"/>
    <mergeCell ref="B6:C6"/>
    <mergeCell ref="B5:D5"/>
    <mergeCell ref="A16:B16"/>
    <mergeCell ref="B7:C7"/>
    <mergeCell ref="A3:D3"/>
  </mergeCells>
  <dataValidations count="6">
    <dataValidation sqref="A18 B7:C7" showDropDown="0" showInputMessage="1" showErrorMessage="1" allowBlank="1" type="list">
      <formula1>$M$2:$M$12</formula1>
    </dataValidation>
    <dataValidation sqref="C12" showDropDown="0" showInputMessage="1" showErrorMessage="1" allowBlank="1" type="list">
      <formula1>$Y$2:$Y$29</formula1>
    </dataValidation>
    <dataValidation sqref="A12" showDropDown="0" showInputMessage="1" showErrorMessage="1" allowBlank="1" type="list">
      <formula1>$W$2:$W$29</formula1>
    </dataValidation>
    <dataValidation sqref="B12" showDropDown="0" showInputMessage="1" showErrorMessage="1" allowBlank="1" type="list">
      <formula1>$X$2:$X$29</formula1>
    </dataValidation>
    <dataValidation sqref="A7" showDropDown="0" showInputMessage="1" showErrorMessage="1" allowBlank="1" type="list">
      <formula1>$L$2:$L$12</formula1>
    </dataValidation>
    <dataValidation sqref="B18 D7" showDropDown="0" showInputMessage="1" showErrorMessage="1" allowBlank="1" type="list">
      <formula1>$N$2:$N$12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K12"/>
  <sheetViews>
    <sheetView workbookViewId="0">
      <selection activeCell="A1" sqref="A1:D8"/>
    </sheetView>
  </sheetViews>
  <sheetFormatPr baseColWidth="8" defaultRowHeight="15"/>
  <cols>
    <col width="35.42578125" bestFit="1" customWidth="1" min="1" max="1"/>
    <col width="43.42578125" customWidth="1" min="2" max="2"/>
    <col width="113.85546875" bestFit="1" customWidth="1" min="8" max="8"/>
    <col width="19.7109375" bestFit="1" customWidth="1" min="9" max="9"/>
    <col width="10" bestFit="1" customWidth="1" min="10" max="10"/>
    <col width="10.28515625" bestFit="1" customWidth="1" style="1" min="11" max="11"/>
  </cols>
  <sheetData>
    <row r="1" ht="24" customFormat="1" customHeight="1" s="1">
      <c r="A1" s="78" t="inlineStr">
        <is>
          <t>Camel Grid Asset Condition Index Calculator (ACI-CG)</t>
        </is>
      </c>
      <c r="H1" s="87" t="inlineStr">
        <is>
          <t>Functional Defects</t>
        </is>
      </c>
      <c r="I1" s="87" t="inlineStr">
        <is>
          <t>Functional Rating (F)</t>
        </is>
      </c>
      <c r="J1" s="87" t="inlineStr">
        <is>
          <t>ACI = F</t>
        </is>
      </c>
      <c r="K1" s="87" t="inlineStr">
        <is>
          <t>ACI Rating</t>
        </is>
      </c>
    </row>
    <row r="2">
      <c r="H2" s="17" t="inlineStr">
        <is>
          <t>No Defect Found</t>
        </is>
      </c>
      <c r="I2" s="8" t="n">
        <v>100</v>
      </c>
      <c r="J2" s="8">
        <f>I2</f>
        <v/>
      </c>
      <c r="K2" s="8" t="inlineStr">
        <is>
          <t>GOOD</t>
        </is>
      </c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E3" s="39" t="n"/>
      <c r="H3" s="17" t="inlineStr">
        <is>
          <t>Camel grid is minor deteriorated less than 1%</t>
        </is>
      </c>
      <c r="I3" s="8" t="n">
        <v>90</v>
      </c>
      <c r="J3" s="8">
        <f>I3</f>
        <v/>
      </c>
      <c r="K3" s="8" t="inlineStr">
        <is>
          <t>GOOD</t>
        </is>
      </c>
    </row>
    <row r="4">
      <c r="A4" s="90" t="inlineStr">
        <is>
          <t>No Defect Found</t>
        </is>
      </c>
      <c r="B4" s="42" t="n"/>
      <c r="D4" s="1">
        <f>VLOOKUP(A4, H2:J12, 3,FALSE)</f>
        <v/>
      </c>
      <c r="E4" s="1" t="n"/>
      <c r="H4" s="17" t="inlineStr">
        <is>
          <t>Camel grid is minor deteriorated less than 5%</t>
        </is>
      </c>
      <c r="I4" s="8" t="n">
        <v>80</v>
      </c>
      <c r="J4" s="8">
        <f>I4</f>
        <v/>
      </c>
      <c r="K4" s="8" t="inlineStr">
        <is>
          <t>GOOD</t>
        </is>
      </c>
    </row>
    <row r="5">
      <c r="H5" s="17" t="inlineStr">
        <is>
          <t>Camel grid is minor deteriorated less than 7%</t>
        </is>
      </c>
      <c r="I5" s="8" t="n">
        <v>70</v>
      </c>
      <c r="J5" s="8">
        <f>I5</f>
        <v/>
      </c>
      <c r="K5" s="8" t="inlineStr">
        <is>
          <t>FAIR</t>
        </is>
      </c>
    </row>
    <row r="6">
      <c r="H6" s="17" t="inlineStr">
        <is>
          <t>Camel Grid is 10% deteriorated and or rusted 10% and or partially filled with sand 10%</t>
        </is>
      </c>
      <c r="I6" s="8" t="n">
        <v>60</v>
      </c>
      <c r="J6" s="8">
        <f>I6</f>
        <v/>
      </c>
      <c r="K6" s="8" t="inlineStr">
        <is>
          <t>FAIR</t>
        </is>
      </c>
    </row>
    <row r="7">
      <c r="A7" s="44" t="inlineStr">
        <is>
          <t>(ACI-CG) Value</t>
        </is>
      </c>
      <c r="B7" s="44">
        <f>D4</f>
        <v/>
      </c>
      <c r="H7" s="17" t="inlineStr">
        <is>
          <t>Camel Grid is 15% deteriorated and or rusted 15% and or partially filled with sand 15%</t>
        </is>
      </c>
      <c r="I7" s="8" t="n">
        <v>50</v>
      </c>
      <c r="J7" s="8">
        <f>I7</f>
        <v/>
      </c>
      <c r="K7" s="8" t="inlineStr">
        <is>
          <t>FAIR</t>
        </is>
      </c>
    </row>
    <row r="8">
      <c r="A8" s="44" t="inlineStr">
        <is>
          <t>(ACI-CG) Condition</t>
        </is>
      </c>
      <c r="B8" s="44">
        <f>IF(AND(B7&gt;=80, B7&lt;=100), "GOOD", IF(AND(B7&gt;40, B7&lt;80), "FAIR", "POOR"))</f>
        <v/>
      </c>
      <c r="H8" s="17" t="inlineStr">
        <is>
          <t>Camel Grid is deteriorated 20% and or rusted 20% and or camel grid components are missing 20% and or filled 20% with sand</t>
        </is>
      </c>
      <c r="I8" s="8" t="n">
        <v>40</v>
      </c>
      <c r="J8" s="8">
        <f>I8</f>
        <v/>
      </c>
      <c r="K8" s="8" t="inlineStr">
        <is>
          <t>POOR</t>
        </is>
      </c>
    </row>
    <row r="9">
      <c r="H9" s="17" t="inlineStr">
        <is>
          <t>Camel Grid is deteriorated 25% and or rusted 25% and or camel grid components are missing 25% and or filled 25% with sand</t>
        </is>
      </c>
      <c r="I9" s="8" t="n">
        <v>30</v>
      </c>
      <c r="J9" s="8">
        <f>I9</f>
        <v/>
      </c>
      <c r="K9" s="8" t="inlineStr">
        <is>
          <t>POOR</t>
        </is>
      </c>
    </row>
    <row r="10">
      <c r="H10" s="17" t="inlineStr">
        <is>
          <t>Camel Grid is deteriorated 30% and or rusted 30% and or camel grid components are missing 30% and or filled 30% with sand</t>
        </is>
      </c>
      <c r="I10" s="8" t="n">
        <v>20</v>
      </c>
      <c r="J10" s="8">
        <f>I10</f>
        <v/>
      </c>
      <c r="K10" s="8" t="inlineStr">
        <is>
          <t>POOR</t>
        </is>
      </c>
    </row>
    <row r="11">
      <c r="H11" s="17" t="inlineStr">
        <is>
          <t>Camel Grid is deteriorated 40% and or rusted 40% and or camel grid components are missing 40% and or filled 40% with sand</t>
        </is>
      </c>
      <c r="I11" s="8" t="n">
        <v>10</v>
      </c>
      <c r="J11" s="8">
        <f>I11</f>
        <v/>
      </c>
      <c r="K11" s="8" t="inlineStr">
        <is>
          <t>POOR</t>
        </is>
      </c>
    </row>
    <row r="12" ht="30" customHeight="1">
      <c r="H12" s="17" t="inlineStr">
        <is>
          <t>Camel Grid is deteriorated more than 40% and or rusted more than 40% and or camel grid components are missing more than 40% and or filled more than 40% with sand</t>
        </is>
      </c>
      <c r="I12" s="8" t="n">
        <v>0</v>
      </c>
      <c r="J12" s="8">
        <f>I12</f>
        <v/>
      </c>
      <c r="K12" s="8" t="inlineStr">
        <is>
          <t>POOR</t>
        </is>
      </c>
    </row>
  </sheetData>
  <autoFilter ref="H1:K1">
    <sortState ref="H2:K12">
      <sortCondition descending="1" ref="J1"/>
    </sortState>
  </autoFilter>
  <mergeCells count="1">
    <mergeCell ref="A1:B1"/>
  </mergeCells>
  <dataValidations count="2">
    <dataValidation sqref="A4" showDropDown="0" showInputMessage="1" showErrorMessage="1" allowBlank="1" type="list">
      <formula1>$H$2:$H$12</formula1>
    </dataValidation>
    <dataValidation sqref="A5" showDropDown="0" showInputMessage="1" showErrorMessage="1" allowBlank="1" type="list">
      <formula1>$K$4:$K$12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A1:S12"/>
  <sheetViews>
    <sheetView zoomScale="80" zoomScaleNormal="80" workbookViewId="0">
      <selection activeCell="A1" sqref="A1:I8"/>
    </sheetView>
  </sheetViews>
  <sheetFormatPr baseColWidth="8" defaultRowHeight="15"/>
  <cols>
    <col width="38.7109375" customWidth="1" min="1" max="1"/>
    <col width="40.5703125" customWidth="1" min="2" max="2"/>
    <col width="37.140625" bestFit="1" customWidth="1" min="3" max="3"/>
    <col width="30.7109375" bestFit="1" customWidth="1" min="4" max="4"/>
    <col width="40.140625" customWidth="1" style="27" min="10" max="10"/>
    <col width="40" bestFit="1" customWidth="1" style="27" min="11" max="11"/>
    <col width="40.140625" customWidth="1" style="27" min="12" max="12"/>
    <col width="27.28515625" bestFit="1" customWidth="1" style="27" min="13" max="13"/>
    <col width="20.42578125" bestFit="1" customWidth="1" style="27" min="14" max="14"/>
    <col width="31.42578125" bestFit="1" customWidth="1" style="27" min="15" max="15"/>
    <col width="22.5703125" bestFit="1" customWidth="1" style="27" min="16" max="16"/>
    <col width="17" bestFit="1" customWidth="1" style="27" min="17" max="17"/>
    <col width="31" bestFit="1" customWidth="1" min="18" max="18"/>
    <col width="10.5703125" bestFit="1" customWidth="1" min="19" max="19"/>
  </cols>
  <sheetData>
    <row r="1" ht="38.25" customFormat="1" customHeight="1" s="15">
      <c r="A1" s="91" t="inlineStr">
        <is>
          <t>Pergola Asset Condition Index Calculator (ACI-PG)</t>
        </is>
      </c>
      <c r="J1" s="84" t="inlineStr">
        <is>
          <t>Foundation Defects</t>
        </is>
      </c>
      <c r="K1" s="84" t="inlineStr">
        <is>
          <t>Column Functionality Defects</t>
        </is>
      </c>
      <c r="L1" s="84" t="inlineStr">
        <is>
          <t>Column Appearance Defects</t>
        </is>
      </c>
      <c r="M1" s="84" t="inlineStr">
        <is>
          <t>Roof Defects</t>
        </is>
      </c>
      <c r="N1" s="84" t="inlineStr">
        <is>
          <t>Foundation Rating (F)</t>
        </is>
      </c>
      <c r="O1" s="84" t="inlineStr">
        <is>
          <t>Column Functionality Rating (FC)</t>
        </is>
      </c>
      <c r="P1" s="84" t="inlineStr">
        <is>
          <t>Column Appearance (A)</t>
        </is>
      </c>
      <c r="Q1" s="84" t="inlineStr">
        <is>
          <t>Roof Defects ( R )</t>
        </is>
      </c>
      <c r="R1" s="87" t="inlineStr">
        <is>
          <t>ACI = 0.4*F + 0.3*(FC + A) + 0.3*R</t>
        </is>
      </c>
      <c r="S1" s="87" t="inlineStr">
        <is>
          <t>ACI Rating</t>
        </is>
      </c>
    </row>
    <row r="2" customFormat="1" s="15">
      <c r="J2" s="17" t="inlineStr">
        <is>
          <t>No Defect Found</t>
        </is>
      </c>
      <c r="K2" s="17" t="inlineStr">
        <is>
          <t>No Defect Found</t>
        </is>
      </c>
      <c r="L2" s="17" t="inlineStr">
        <is>
          <t>No Defect Found</t>
        </is>
      </c>
      <c r="M2" s="17" t="inlineStr">
        <is>
          <t>No Defect Found</t>
        </is>
      </c>
      <c r="N2" s="8" t="n">
        <v>100</v>
      </c>
      <c r="O2" s="8" t="n">
        <v>70</v>
      </c>
      <c r="P2" s="8" t="n">
        <v>30</v>
      </c>
      <c r="Q2" s="8" t="n">
        <v>100</v>
      </c>
      <c r="R2" s="8">
        <f>0.4*N2+0.3*(O2+P2)+0.3*Q2</f>
        <v/>
      </c>
      <c r="S2" s="8" t="inlineStr">
        <is>
          <t>GOOD</t>
        </is>
      </c>
    </row>
    <row r="3" ht="30" customHeight="1">
      <c r="A3" s="87" t="inlineStr">
        <is>
          <t>Select Appropriate Foundation Defects</t>
        </is>
      </c>
      <c r="B3" s="87" t="inlineStr">
        <is>
          <t>Select Appropriate Column Defects</t>
        </is>
      </c>
      <c r="C3" s="98" t="n"/>
      <c r="D3" s="87" t="inlineStr">
        <is>
          <t>Select Appropriate Roof Defects</t>
        </is>
      </c>
      <c r="F3" s="39" t="inlineStr">
        <is>
          <t>F</t>
        </is>
      </c>
      <c r="G3" s="39" t="inlineStr">
        <is>
          <t>F</t>
        </is>
      </c>
      <c r="H3" s="39" t="inlineStr">
        <is>
          <t>A</t>
        </is>
      </c>
      <c r="I3" s="39" t="inlineStr">
        <is>
          <t>R</t>
        </is>
      </c>
      <c r="J3" s="28" t="inlineStr">
        <is>
          <t xml:space="preserve">Concrete has minor deterioration 5% and/or rusting 5% and/or lose bolts 5% </t>
        </is>
      </c>
      <c r="K3" s="28" t="inlineStr">
        <is>
          <t xml:space="preserve">Column Misaligned Minor 1% and or any other minor deterioration 1% </t>
        </is>
      </c>
      <c r="L3" s="28" t="inlineStr">
        <is>
          <t xml:space="preserve">Minor Paint faded or Peeled off 1% </t>
        </is>
      </c>
      <c r="M3" s="28" t="inlineStr">
        <is>
          <t>Roof has deterioration and or corrosion 1%</t>
        </is>
      </c>
      <c r="N3" s="8" t="n">
        <v>90</v>
      </c>
      <c r="O3" s="8" t="n">
        <v>63</v>
      </c>
      <c r="P3" s="8" t="n">
        <v>27</v>
      </c>
      <c r="Q3" s="8" t="n">
        <v>90</v>
      </c>
      <c r="R3" s="8">
        <f>0.4*N3+0.3*(O3+P3)+0.3*Q3</f>
        <v/>
      </c>
      <c r="S3" s="8" t="inlineStr">
        <is>
          <t>GOOD</t>
        </is>
      </c>
    </row>
    <row r="4" ht="30" customHeight="1">
      <c r="A4" s="99" t="n"/>
      <c r="B4" s="87" t="inlineStr">
        <is>
          <t>Select Appropriate Functionality Defects</t>
        </is>
      </c>
      <c r="C4" s="87" t="inlineStr">
        <is>
          <t>Select Appropriate Appearance Defects</t>
        </is>
      </c>
      <c r="D4" s="99" t="n"/>
      <c r="F4" s="7">
        <f>VLOOKUP(A5, J2:N12, 5,FALSE)</f>
        <v/>
      </c>
      <c r="G4" s="7">
        <f>VLOOKUP(B5, K2:O12, 5, FALSE)</f>
        <v/>
      </c>
      <c r="H4" s="7">
        <f>VLOOKUP(C5, L2:P12, 5, FALSE)</f>
        <v/>
      </c>
      <c r="I4" s="7">
        <f>VLOOKUP(D5, M2:Q12, 5, FALSE)</f>
        <v/>
      </c>
      <c r="J4" s="28" t="inlineStr">
        <is>
          <t xml:space="preserve">Concrete has minor deterioration 10% and/or rusting 10% and/or lose bolts 10% </t>
        </is>
      </c>
      <c r="K4" s="28" t="inlineStr">
        <is>
          <t xml:space="preserve">Column Misaligned Minor 2% and or any other minor deterioration 2% </t>
        </is>
      </c>
      <c r="L4" s="28" t="inlineStr">
        <is>
          <t xml:space="preserve">Minor Paint faded or Peeled off 2% </t>
        </is>
      </c>
      <c r="M4" s="28" t="inlineStr">
        <is>
          <t>Roof has deterioration and or corrosion 2%</t>
        </is>
      </c>
      <c r="N4" s="8" t="n">
        <v>80</v>
      </c>
      <c r="O4" s="8" t="n">
        <v>56</v>
      </c>
      <c r="P4" s="8" t="n">
        <v>24</v>
      </c>
      <c r="Q4" s="8" t="n">
        <v>80</v>
      </c>
      <c r="R4" s="8">
        <f>0.4*N4+0.3*(O4+P4)+0.3*Q4</f>
        <v/>
      </c>
      <c r="S4" s="8" t="inlineStr">
        <is>
          <t>GOOD</t>
        </is>
      </c>
    </row>
    <row r="5" ht="30" customHeight="1">
      <c r="A5" s="90" t="inlineStr">
        <is>
          <t>No Defect Found</t>
        </is>
      </c>
      <c r="B5" s="90" t="inlineStr">
        <is>
          <t>No Defect Found</t>
        </is>
      </c>
      <c r="C5" s="8" t="inlineStr">
        <is>
          <t>No Defect Found</t>
        </is>
      </c>
      <c r="D5" s="8" t="inlineStr">
        <is>
          <t>No Defect Found</t>
        </is>
      </c>
      <c r="J5" s="28" t="inlineStr">
        <is>
          <t xml:space="preserve">Concrete has minor deterioration 20% and/or rusting 20% and/or lose bolts 20% </t>
        </is>
      </c>
      <c r="K5" s="28" t="inlineStr">
        <is>
          <t xml:space="preserve">Column Misaligned 5% and or any other deterioration 5% </t>
        </is>
      </c>
      <c r="L5" s="28" t="inlineStr">
        <is>
          <t xml:space="preserve">Paint faded or Peeled off 5% </t>
        </is>
      </c>
      <c r="M5" s="28" t="inlineStr">
        <is>
          <t>Roof has deterioration and or corrosion 5%</t>
        </is>
      </c>
      <c r="N5" s="8" t="n">
        <v>70</v>
      </c>
      <c r="O5" s="8" t="n">
        <v>49</v>
      </c>
      <c r="P5" s="8" t="n">
        <v>21</v>
      </c>
      <c r="Q5" s="8" t="n">
        <v>70</v>
      </c>
      <c r="R5" s="8">
        <f>0.4*N5+0.3*(O5+P5)+0.3*Q5</f>
        <v/>
      </c>
      <c r="S5" s="8" t="inlineStr">
        <is>
          <t>FAIR</t>
        </is>
      </c>
    </row>
    <row r="6" ht="30" customHeight="1">
      <c r="J6" s="28" t="inlineStr">
        <is>
          <t xml:space="preserve">Concrete has deterioration 25% and/or rusting 25% and/or lose bolts 25% </t>
        </is>
      </c>
      <c r="K6" s="28" t="inlineStr">
        <is>
          <t xml:space="preserve">Column Misaligned 7% and or any other deterioration 7% </t>
        </is>
      </c>
      <c r="L6" s="28" t="inlineStr">
        <is>
          <t>Paint faded or Peeled off 10% with rusting</t>
        </is>
      </c>
      <c r="M6" s="28" t="inlineStr">
        <is>
          <t>Roof has deterioration and or corrosion 10%</t>
        </is>
      </c>
      <c r="N6" s="8" t="n">
        <v>60</v>
      </c>
      <c r="O6" s="8" t="n">
        <v>42</v>
      </c>
      <c r="P6" s="8" t="n">
        <v>18</v>
      </c>
      <c r="Q6" s="8" t="n">
        <v>60</v>
      </c>
      <c r="R6" s="8">
        <f>0.4*N6+0.3*(O6+P6)+0.3*Q6</f>
        <v/>
      </c>
      <c r="S6" s="8" t="inlineStr">
        <is>
          <t>FAIR</t>
        </is>
      </c>
    </row>
    <row r="7" ht="30" customHeight="1">
      <c r="A7" s="65" t="inlineStr">
        <is>
          <t>(ACI-PG) Value</t>
        </is>
      </c>
      <c r="B7" s="65">
        <f>IF(OR(F4=0, G4=0, I4=0), 0, ROUND(0.4*F4 + 0.3*(G4+H4) + 0.3*I4, 0))</f>
        <v/>
      </c>
      <c r="J7" s="28" t="inlineStr">
        <is>
          <t xml:space="preserve">Concrete has deterioration 30% and/or rusting 30% and/or lose bolts 30% </t>
        </is>
      </c>
      <c r="K7" s="28" t="inlineStr">
        <is>
          <t xml:space="preserve">Column Misaligned 10% and or any other deterioration 10% </t>
        </is>
      </c>
      <c r="L7" s="28" t="inlineStr">
        <is>
          <t>Paint faded or Peeled off 15% with rusting</t>
        </is>
      </c>
      <c r="M7" s="28" t="inlineStr">
        <is>
          <t>Roof has deterioration and or corrosion 15%</t>
        </is>
      </c>
      <c r="N7" s="8" t="n">
        <v>50</v>
      </c>
      <c r="O7" s="8" t="n">
        <v>35</v>
      </c>
      <c r="P7" s="8" t="n">
        <v>15</v>
      </c>
      <c r="Q7" s="8" t="n">
        <v>50</v>
      </c>
      <c r="R7" s="8">
        <f>0.4*N7+0.3*(O7+P7)+0.3*Q7</f>
        <v/>
      </c>
      <c r="S7" s="8" t="inlineStr">
        <is>
          <t>FAIR</t>
        </is>
      </c>
    </row>
    <row r="8" ht="30" customHeight="1">
      <c r="A8" s="65" t="inlineStr">
        <is>
          <t>(ACI-PG) Condition</t>
        </is>
      </c>
      <c r="B8" s="65">
        <f>IF(AND(B7&gt;=80, B7&lt;=100), "GOOD", IF(AND(B7&gt;40, B7&lt;80), "FAIR", "POOR"))</f>
        <v/>
      </c>
      <c r="J8" s="28" t="inlineStr">
        <is>
          <t xml:space="preserve">Concrete has deterioration 40% and/or rusting 40% and/or lose bolts 40% </t>
        </is>
      </c>
      <c r="K8" s="28" t="inlineStr">
        <is>
          <t xml:space="preserve">Column Misaligned 20% and or any other deterioration 20% </t>
        </is>
      </c>
      <c r="L8" s="28" t="inlineStr">
        <is>
          <t>Paint faded or Peeled off 20%  with rusting</t>
        </is>
      </c>
      <c r="M8" s="28" t="inlineStr">
        <is>
          <t>Roof has deterioration and or corrosion 20%</t>
        </is>
      </c>
      <c r="N8" s="8" t="n">
        <v>40</v>
      </c>
      <c r="O8" s="8" t="n">
        <v>28</v>
      </c>
      <c r="P8" s="8" t="n">
        <v>12</v>
      </c>
      <c r="Q8" s="8" t="n">
        <v>40</v>
      </c>
      <c r="R8" s="8">
        <f>0.4*N8+0.3*(O8+P8)+0.3*Q8</f>
        <v/>
      </c>
      <c r="S8" s="8" t="inlineStr">
        <is>
          <t>POOR</t>
        </is>
      </c>
    </row>
    <row r="9" ht="30" customHeight="1">
      <c r="J9" s="28" t="inlineStr">
        <is>
          <t xml:space="preserve">Concrete has deterioration 45% and/or rusting 45% and/or lose bolts 45% </t>
        </is>
      </c>
      <c r="K9" s="28" t="inlineStr">
        <is>
          <t xml:space="preserve">Column Misaligned 25% and or any other deterioration 25% </t>
        </is>
      </c>
      <c r="L9" s="28" t="inlineStr">
        <is>
          <t>Paint faded or Peeled off 25% with rusting</t>
        </is>
      </c>
      <c r="M9" s="28" t="inlineStr">
        <is>
          <t>Roof has deterioration and or corrosion 25%</t>
        </is>
      </c>
      <c r="N9" s="8" t="n">
        <v>30</v>
      </c>
      <c r="O9" s="8" t="n">
        <v>21</v>
      </c>
      <c r="P9" s="8" t="n">
        <v>9</v>
      </c>
      <c r="Q9" s="8" t="n">
        <v>30</v>
      </c>
      <c r="R9" s="8">
        <f>0.4*N9+0.3*(O9+P9)+0.3*Q9</f>
        <v/>
      </c>
      <c r="S9" s="8" t="inlineStr">
        <is>
          <t>POOR</t>
        </is>
      </c>
    </row>
    <row r="10" ht="30" customHeight="1">
      <c r="J10" s="28" t="inlineStr">
        <is>
          <t xml:space="preserve">Concrete has deterioration 50% and/or rusting 50% and/or lose bolts 50% </t>
        </is>
      </c>
      <c r="K10" s="28" t="inlineStr">
        <is>
          <t xml:space="preserve">Column Misaligned 30% and or any other deterioration 30% </t>
        </is>
      </c>
      <c r="L10" s="28" t="inlineStr">
        <is>
          <t>Paint faded or Peeled off 30% with rusting</t>
        </is>
      </c>
      <c r="M10" s="28" t="inlineStr">
        <is>
          <t>Roof has deterioration and or corrosion 30%</t>
        </is>
      </c>
      <c r="N10" s="8" t="n">
        <v>20</v>
      </c>
      <c r="O10" s="8" t="n">
        <v>14</v>
      </c>
      <c r="P10" s="8" t="n">
        <v>6</v>
      </c>
      <c r="Q10" s="8" t="n">
        <v>20</v>
      </c>
      <c r="R10" s="8">
        <f>0.4*N10+0.3*(O10+P10)+0.3*Q10</f>
        <v/>
      </c>
      <c r="S10" s="8" t="inlineStr">
        <is>
          <t>POOR</t>
        </is>
      </c>
    </row>
    <row r="11" ht="30" customHeight="1">
      <c r="J11" s="28" t="inlineStr">
        <is>
          <t xml:space="preserve">Concrete has deterioration 55% and/or rusting 55% and/or lose bolts 55% </t>
        </is>
      </c>
      <c r="K11" s="28" t="inlineStr">
        <is>
          <t>Column Misaligned 35% and or any other deterioration 35%</t>
        </is>
      </c>
      <c r="L11" s="28" t="inlineStr">
        <is>
          <t>Paint faded or Peeled off 35% with rusting</t>
        </is>
      </c>
      <c r="M11" s="28" t="inlineStr">
        <is>
          <t>Roof has deterioration and or corrosion 35%</t>
        </is>
      </c>
      <c r="N11" s="8" t="n">
        <v>10</v>
      </c>
      <c r="O11" s="8" t="n">
        <v>7</v>
      </c>
      <c r="P11" s="8" t="n">
        <v>3</v>
      </c>
      <c r="Q11" s="8" t="n">
        <v>10</v>
      </c>
      <c r="R11" s="8">
        <f>0.4*N11+0.3*(O11+P11)+0.3*Q11</f>
        <v/>
      </c>
      <c r="S11" s="8" t="inlineStr">
        <is>
          <t>POOR</t>
        </is>
      </c>
    </row>
    <row r="12" ht="45" customHeight="1">
      <c r="J12" s="28" t="inlineStr">
        <is>
          <t xml:space="preserve">Concrete has deterioration more than 60% and/or rusting more than 60% and/or lose or missing bolts  more than 60% </t>
        </is>
      </c>
      <c r="K12" s="28" t="inlineStr">
        <is>
          <t>Column Misaligned or damaged more than 35%</t>
        </is>
      </c>
      <c r="L12" s="28" t="inlineStr">
        <is>
          <t>Paint faded or Peeled off more than 40% with rusting</t>
        </is>
      </c>
      <c r="M12" s="28" t="inlineStr">
        <is>
          <t>Roof has deterioration and or corrosion 40%</t>
        </is>
      </c>
      <c r="N12" s="8" t="n">
        <v>0</v>
      </c>
      <c r="O12" s="8" t="n">
        <v>0</v>
      </c>
      <c r="P12" s="8" t="n">
        <v>0</v>
      </c>
      <c r="Q12" s="8" t="n">
        <v>0</v>
      </c>
      <c r="R12" s="8">
        <f>0.4*N12+0.3*(O12+P12)+0.3*Q12</f>
        <v/>
      </c>
      <c r="S12" s="8" t="inlineStr">
        <is>
          <t>POOR</t>
        </is>
      </c>
    </row>
  </sheetData>
  <autoFilter ref="J1:S1">
    <sortState ref="J2:S12">
      <sortCondition descending="1" ref="R1"/>
    </sortState>
  </autoFilter>
  <mergeCells count="4">
    <mergeCell ref="A1:D1"/>
    <mergeCell ref="D3:D4"/>
    <mergeCell ref="A3:A4"/>
    <mergeCell ref="B3:C3"/>
  </mergeCells>
  <dataValidations disablePrompts="1" count="4">
    <dataValidation sqref="B5" showDropDown="0" showInputMessage="1" showErrorMessage="1" allowBlank="1" type="list">
      <formula1>$K$2:$K$12</formula1>
    </dataValidation>
    <dataValidation sqref="A5" showDropDown="0" showInputMessage="1" showErrorMessage="1" allowBlank="1" type="list">
      <formula1>$J$2:$J$12</formula1>
    </dataValidation>
    <dataValidation sqref="C5" showDropDown="0" showInputMessage="1" showErrorMessage="1" allowBlank="1" type="list">
      <formula1>$L$2:$L$12</formula1>
    </dataValidation>
    <dataValidation sqref="D5" showDropDown="0" showInputMessage="1" showErrorMessage="1" allowBlank="1" type="list">
      <formula1>$M$2:$M$12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K27" sqref="K27"/>
    </sheetView>
  </sheetViews>
  <sheetFormatPr baseColWidth="8" defaultRowHeight="15"/>
  <cols>
    <col width="23.85546875" bestFit="1" customWidth="1" min="1" max="1"/>
    <col width="34.28515625" bestFit="1" customWidth="1" min="2" max="2"/>
    <col width="18.140625" bestFit="1" customWidth="1" min="3" max="3"/>
    <col width="18.85546875" bestFit="1" customWidth="1" min="4" max="4"/>
    <col width="10.140625" bestFit="1" customWidth="1" min="5" max="5"/>
    <col width="10.28515625" bestFit="1" customWidth="1" min="6" max="6"/>
  </cols>
  <sheetData>
    <row r="1">
      <c r="A1" s="87" t="inlineStr">
        <is>
          <t>Visibility Defects</t>
        </is>
      </c>
      <c r="B1" s="87" t="inlineStr">
        <is>
          <t>Presence Defects</t>
        </is>
      </c>
      <c r="C1" s="6" t="inlineStr">
        <is>
          <t>Visibility Rating (V)</t>
        </is>
      </c>
      <c r="D1" s="6" t="inlineStr">
        <is>
          <t>Presence Rating (P)</t>
        </is>
      </c>
      <c r="E1" s="6" t="inlineStr">
        <is>
          <t>ACI = V+P</t>
        </is>
      </c>
      <c r="F1" s="5" t="inlineStr">
        <is>
          <t>ACI Rating</t>
        </is>
      </c>
    </row>
    <row r="2">
      <c r="A2" s="4" t="inlineStr">
        <is>
          <t xml:space="preserve">Visibility is less than 40% </t>
        </is>
      </c>
      <c r="B2" s="4" t="inlineStr">
        <is>
          <t xml:space="preserve">Marking is more than 80% not visible </t>
        </is>
      </c>
      <c r="C2" s="3">
        <f>E2*0.7</f>
        <v/>
      </c>
      <c r="D2" s="3">
        <f>E2*0.3</f>
        <v/>
      </c>
      <c r="E2" s="3" t="n">
        <v>0</v>
      </c>
      <c r="F2" s="3" t="inlineStr">
        <is>
          <t>POOR</t>
        </is>
      </c>
    </row>
    <row r="3">
      <c r="A3" s="4" t="inlineStr">
        <is>
          <t xml:space="preserve">Visibility is 55% </t>
        </is>
      </c>
      <c r="B3" s="4" t="inlineStr">
        <is>
          <t xml:space="preserve">Marking is faded / peeled of 75% </t>
        </is>
      </c>
      <c r="C3" s="3">
        <f>E3*0.7</f>
        <v/>
      </c>
      <c r="D3" s="3">
        <f>E3*0.3</f>
        <v/>
      </c>
      <c r="E3" s="3" t="n">
        <v>10</v>
      </c>
      <c r="F3" s="3" t="inlineStr">
        <is>
          <t>POOR</t>
        </is>
      </c>
    </row>
    <row r="4">
      <c r="A4" s="4" t="inlineStr">
        <is>
          <t xml:space="preserve">Visibility is 60% </t>
        </is>
      </c>
      <c r="B4" s="4" t="inlineStr">
        <is>
          <t xml:space="preserve">Marking is faded / peeled of 70% </t>
        </is>
      </c>
      <c r="C4" s="3">
        <f>E4*0.7</f>
        <v/>
      </c>
      <c r="D4" s="3">
        <f>E4*0.3</f>
        <v/>
      </c>
      <c r="E4" s="3" t="n">
        <v>20</v>
      </c>
      <c r="F4" s="3" t="inlineStr">
        <is>
          <t>POOR</t>
        </is>
      </c>
    </row>
    <row r="5">
      <c r="A5" s="4" t="inlineStr">
        <is>
          <t xml:space="preserve">Visibility is 65% </t>
        </is>
      </c>
      <c r="B5" s="4" t="inlineStr">
        <is>
          <t xml:space="preserve">Marking is faded / peeled of 65% </t>
        </is>
      </c>
      <c r="C5" s="3">
        <f>E5*0.7</f>
        <v/>
      </c>
      <c r="D5" s="3">
        <f>E5*0.3</f>
        <v/>
      </c>
      <c r="E5" s="3" t="n">
        <v>30</v>
      </c>
      <c r="F5" s="3" t="inlineStr">
        <is>
          <t>POOR</t>
        </is>
      </c>
    </row>
    <row r="6">
      <c r="A6" s="4" t="inlineStr">
        <is>
          <t xml:space="preserve">Visibility is 70% </t>
        </is>
      </c>
      <c r="B6" s="4" t="inlineStr">
        <is>
          <t xml:space="preserve">Marking is faded / peeled of 60% </t>
        </is>
      </c>
      <c r="C6" s="3">
        <f>E6*0.7</f>
        <v/>
      </c>
      <c r="D6" s="3">
        <f>E6*0.3</f>
        <v/>
      </c>
      <c r="E6" s="3" t="n">
        <v>40</v>
      </c>
      <c r="F6" s="3" t="inlineStr">
        <is>
          <t>POOR</t>
        </is>
      </c>
    </row>
    <row r="7">
      <c r="A7" s="4" t="inlineStr">
        <is>
          <t xml:space="preserve">Visibility is 75% </t>
        </is>
      </c>
      <c r="B7" s="4" t="inlineStr">
        <is>
          <t xml:space="preserve">Marking is faded / peeled of 40% </t>
        </is>
      </c>
      <c r="C7" s="3">
        <f>E7*0.7</f>
        <v/>
      </c>
      <c r="D7" s="3">
        <f>E7*0.3</f>
        <v/>
      </c>
      <c r="E7" s="3" t="n">
        <v>50</v>
      </c>
      <c r="F7" s="3" t="inlineStr">
        <is>
          <t>FAIR</t>
        </is>
      </c>
    </row>
    <row r="8">
      <c r="A8" s="4" t="inlineStr">
        <is>
          <t xml:space="preserve">Visibility is 85% </t>
        </is>
      </c>
      <c r="B8" s="4" t="inlineStr">
        <is>
          <t xml:space="preserve">Marking is faded / peeled of 20% </t>
        </is>
      </c>
      <c r="C8" s="3">
        <f>E8*0.7</f>
        <v/>
      </c>
      <c r="D8" s="3">
        <f>E8*0.3</f>
        <v/>
      </c>
      <c r="E8" s="3" t="n">
        <v>60</v>
      </c>
      <c r="F8" s="3" t="inlineStr">
        <is>
          <t>FAIR</t>
        </is>
      </c>
    </row>
    <row r="9">
      <c r="A9" s="4" t="inlineStr">
        <is>
          <t xml:space="preserve">Visibility is 90% </t>
        </is>
      </c>
      <c r="B9" s="4" t="inlineStr">
        <is>
          <t xml:space="preserve">Marking is faded / peeled of 15% </t>
        </is>
      </c>
      <c r="C9" s="3">
        <f>E9*0.7</f>
        <v/>
      </c>
      <c r="D9" s="3">
        <f>E9*0.3</f>
        <v/>
      </c>
      <c r="E9" s="3" t="n">
        <v>70</v>
      </c>
      <c r="F9" s="3" t="inlineStr">
        <is>
          <t>FAIR</t>
        </is>
      </c>
    </row>
    <row r="10">
      <c r="A10" s="4" t="inlineStr">
        <is>
          <t xml:space="preserve">Visibility is 95% </t>
        </is>
      </c>
      <c r="B10" s="4" t="inlineStr">
        <is>
          <t xml:space="preserve">Marking is faded / peeled of 10% </t>
        </is>
      </c>
      <c r="C10" s="3">
        <f>E10*0.7</f>
        <v/>
      </c>
      <c r="D10" s="3">
        <f>E10*0.3</f>
        <v/>
      </c>
      <c r="E10" s="3" t="n">
        <v>80</v>
      </c>
      <c r="F10" s="3" t="inlineStr">
        <is>
          <t>GOOD</t>
        </is>
      </c>
    </row>
    <row r="11">
      <c r="A11" s="4" t="inlineStr">
        <is>
          <t xml:space="preserve">Visibility is 98% </t>
        </is>
      </c>
      <c r="B11" s="4" t="inlineStr">
        <is>
          <t xml:space="preserve">Marking is faded / peeled of 5% </t>
        </is>
      </c>
      <c r="C11" s="3">
        <f>E11*0.7</f>
        <v/>
      </c>
      <c r="D11" s="3">
        <f>E11*0.3</f>
        <v/>
      </c>
      <c r="E11" s="3" t="n">
        <v>90</v>
      </c>
      <c r="F11" s="3" t="inlineStr">
        <is>
          <t>GOOD</t>
        </is>
      </c>
    </row>
    <row r="12">
      <c r="A12" s="4" t="inlineStr">
        <is>
          <t>No Defect Found</t>
        </is>
      </c>
      <c r="B12" s="4" t="inlineStr">
        <is>
          <t>No Defect Found</t>
        </is>
      </c>
      <c r="C12" s="3">
        <f>E12*0.7</f>
        <v/>
      </c>
      <c r="D12" s="3">
        <f>E12*0.3</f>
        <v/>
      </c>
      <c r="E12" s="3" t="n">
        <v>100</v>
      </c>
      <c r="F12" s="3" t="inlineStr">
        <is>
          <t>GOOD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B1" sqref="B1"/>
    </sheetView>
  </sheetViews>
  <sheetFormatPr baseColWidth="8" defaultRowHeight="15"/>
  <cols>
    <col width="43" customWidth="1" min="1" max="1"/>
    <col width="36" customWidth="1" min="2" max="2"/>
    <col width="33.7109375" customWidth="1" min="3" max="3"/>
    <col width="35.140625" customWidth="1" min="4" max="4"/>
    <col width="21.5703125" bestFit="1" customWidth="1" min="5" max="5"/>
    <col width="25.85546875" bestFit="1" customWidth="1" min="6" max="7"/>
    <col width="30" bestFit="1" customWidth="1" min="8" max="8"/>
    <col width="30.140625" bestFit="1" customWidth="1" min="9" max="9"/>
    <col width="10.28515625" bestFit="1" customWidth="1" min="10" max="10"/>
  </cols>
  <sheetData>
    <row r="1" customFormat="1" s="1">
      <c r="A1" s="87" t="inlineStr">
        <is>
          <t>Foundation Defects</t>
        </is>
      </c>
      <c r="B1" s="87" t="inlineStr">
        <is>
          <t>Pole Functional Defects</t>
        </is>
      </c>
      <c r="C1" s="6" t="inlineStr">
        <is>
          <t>Pole Appearance Defects</t>
        </is>
      </c>
      <c r="D1" s="6" t="inlineStr">
        <is>
          <t>Signal Head and Lights</t>
        </is>
      </c>
      <c r="E1" s="6" t="inlineStr">
        <is>
          <t>Foundation Rating (F)</t>
        </is>
      </c>
      <c r="F1" s="6" t="inlineStr">
        <is>
          <t>Pole Functional Rating (FC)</t>
        </is>
      </c>
      <c r="G1" s="6" t="inlineStr">
        <is>
          <t>Pole Appearance Rating (A)</t>
        </is>
      </c>
      <c r="H1" s="6" t="inlineStr">
        <is>
          <t>Signal Head and Light Rating (S)</t>
        </is>
      </c>
      <c r="I1" s="6" t="inlineStr">
        <is>
          <t>ACI = 0.2*F + 0.2*(FC + A) + 0.6*S</t>
        </is>
      </c>
      <c r="J1" s="87" t="inlineStr">
        <is>
          <t>ACI Rating</t>
        </is>
      </c>
    </row>
    <row r="2" ht="45" customHeight="1">
      <c r="A2" s="33" t="inlineStr">
        <is>
          <t xml:space="preserve">Concrete has deterioration more than 60% and/or rusting more than 60% and/or lose or missing bolts  more than 60% </t>
        </is>
      </c>
      <c r="B2" s="33" t="inlineStr">
        <is>
          <t>Pole Misaligned or damaged completely</t>
        </is>
      </c>
      <c r="C2" s="33" t="inlineStr">
        <is>
          <t>Paint faded or Peeled off more than 40% with rusting</t>
        </is>
      </c>
      <c r="D2" s="33" t="inlineStr">
        <is>
          <t xml:space="preserve">Signal Light and/or Signal Head has deterioration more than 60% </t>
        </is>
      </c>
      <c r="E2" s="3" t="n">
        <v>0</v>
      </c>
      <c r="F2" s="3" t="n">
        <v>0</v>
      </c>
      <c r="G2" s="3" t="n">
        <v>0</v>
      </c>
      <c r="H2" s="3" t="n">
        <v>0</v>
      </c>
      <c r="I2" s="3">
        <f>0.2*E2+0.2*(F2+G2)+0.6*H2</f>
        <v/>
      </c>
      <c r="J2" s="8" t="inlineStr">
        <is>
          <t>POOR</t>
        </is>
      </c>
    </row>
    <row r="3" ht="30" customHeight="1">
      <c r="A3" s="33" t="inlineStr">
        <is>
          <t xml:space="preserve">Concrete has deterioration 55% and/or rusting 55% and/or lose bolts 55% </t>
        </is>
      </c>
      <c r="B3" s="33" t="inlineStr">
        <is>
          <t>Pole Misaligned 35% and or any other deterioration 35%</t>
        </is>
      </c>
      <c r="C3" s="33" t="inlineStr">
        <is>
          <t>Paint faded or Peeled off 40% with rusting</t>
        </is>
      </c>
      <c r="D3" s="33" t="inlineStr">
        <is>
          <t xml:space="preserve">Signal Light and/or Signal Head has deterioration more than 55% </t>
        </is>
      </c>
      <c r="E3" s="3" t="n">
        <v>10</v>
      </c>
      <c r="F3" s="3" t="n">
        <v>7</v>
      </c>
      <c r="G3" s="3" t="n">
        <v>3</v>
      </c>
      <c r="H3" s="3" t="n">
        <v>10</v>
      </c>
      <c r="I3" s="3">
        <f>0.2*E3+0.2*(F3+G3)+0.6*H3</f>
        <v/>
      </c>
      <c r="J3" s="8" t="inlineStr">
        <is>
          <t>POOR</t>
        </is>
      </c>
    </row>
    <row r="4" ht="30" customHeight="1">
      <c r="A4" s="33" t="inlineStr">
        <is>
          <t xml:space="preserve">Concrete has deterioration 50% and/or rusting 50% and/or lose bolts 50% </t>
        </is>
      </c>
      <c r="B4" s="33" t="inlineStr">
        <is>
          <t xml:space="preserve">Pole Misaligned 30% and or any other deterioration 30% </t>
        </is>
      </c>
      <c r="C4" s="33" t="inlineStr">
        <is>
          <t>Paint faded or Peeled off 30% with rusting</t>
        </is>
      </c>
      <c r="D4" s="33" t="inlineStr">
        <is>
          <t xml:space="preserve">Signal Light and/or Signal Head has deterioration more than 50% </t>
        </is>
      </c>
      <c r="E4" s="3" t="n">
        <v>20</v>
      </c>
      <c r="F4" s="3" t="n">
        <v>14</v>
      </c>
      <c r="G4" s="3" t="n">
        <v>6</v>
      </c>
      <c r="H4" s="3" t="n">
        <v>20</v>
      </c>
      <c r="I4" s="3">
        <f>0.2*E4+0.2*(F4+G4)+0.6*H4</f>
        <v/>
      </c>
      <c r="J4" s="8" t="inlineStr">
        <is>
          <t>POOR</t>
        </is>
      </c>
    </row>
    <row r="5" ht="30" customHeight="1">
      <c r="A5" s="33" t="inlineStr">
        <is>
          <t xml:space="preserve">Concrete has deterioration 45% and/or rusting 45% and/or lose bolts 45% </t>
        </is>
      </c>
      <c r="B5" s="33" t="inlineStr">
        <is>
          <t xml:space="preserve">Pole Misaligned 25% and or any other deterioration 25% </t>
        </is>
      </c>
      <c r="C5" s="33" t="inlineStr">
        <is>
          <t>Paint faded or Peeled off 25% with rusting</t>
        </is>
      </c>
      <c r="D5" s="33" t="inlineStr">
        <is>
          <t xml:space="preserve">Signal Light and/or Signal Head has deterioration more than 45% </t>
        </is>
      </c>
      <c r="E5" s="3" t="n">
        <v>30</v>
      </c>
      <c r="F5" s="3" t="n">
        <v>21</v>
      </c>
      <c r="G5" s="3" t="n">
        <v>9</v>
      </c>
      <c r="H5" s="3" t="n">
        <v>30</v>
      </c>
      <c r="I5" s="3">
        <f>0.2*E5+0.2*(F5+G5)+0.6*H5</f>
        <v/>
      </c>
      <c r="J5" s="8" t="inlineStr">
        <is>
          <t>POOR</t>
        </is>
      </c>
    </row>
    <row r="6" ht="30" customHeight="1">
      <c r="A6" s="33" t="inlineStr">
        <is>
          <t xml:space="preserve">Concrete has deterioration 40% and/or rusting 40% and/or lose bolts 40% </t>
        </is>
      </c>
      <c r="B6" s="33" t="inlineStr">
        <is>
          <t xml:space="preserve">Pole Misaligned 20% and or any other deterioration 20% </t>
        </is>
      </c>
      <c r="C6" s="33" t="inlineStr">
        <is>
          <t>Paint faded or Peeled off 20%  with rusting</t>
        </is>
      </c>
      <c r="D6" s="33" t="inlineStr">
        <is>
          <t xml:space="preserve">Signal Light and/or Signal Head has deterioration more than 40% </t>
        </is>
      </c>
      <c r="E6" s="3" t="n">
        <v>40</v>
      </c>
      <c r="F6" s="3" t="n">
        <v>28</v>
      </c>
      <c r="G6" s="3" t="n">
        <v>12</v>
      </c>
      <c r="H6" s="3" t="n">
        <v>40</v>
      </c>
      <c r="I6" s="3">
        <f>0.2*E6+0.2*(F6+G6)+0.6*H6</f>
        <v/>
      </c>
      <c r="J6" s="8" t="inlineStr">
        <is>
          <t>POOR</t>
        </is>
      </c>
    </row>
    <row r="7" ht="30" customHeight="1">
      <c r="A7" s="33" t="inlineStr">
        <is>
          <t xml:space="preserve">Concrete has deterioration 30% and/or rusting 30% and/or lose bolts 30% </t>
        </is>
      </c>
      <c r="B7" s="33" t="inlineStr">
        <is>
          <t xml:space="preserve">Pole Misaligned 10% and or any other deterioration 10% </t>
        </is>
      </c>
      <c r="C7" s="33" t="inlineStr">
        <is>
          <t>Paint faded or Peeled off 15% with rusting</t>
        </is>
      </c>
      <c r="D7" s="33" t="inlineStr">
        <is>
          <t xml:space="preserve">Signal Light and/or Signal Head has deterioration more than 30% </t>
        </is>
      </c>
      <c r="E7" s="3" t="n">
        <v>50</v>
      </c>
      <c r="F7" s="3" t="n">
        <v>35</v>
      </c>
      <c r="G7" s="3" t="n">
        <v>15</v>
      </c>
      <c r="H7" s="3" t="n">
        <v>50</v>
      </c>
      <c r="I7" s="3">
        <f>0.2*E7+0.2*(F7+G7)+0.6*H7</f>
        <v/>
      </c>
      <c r="J7" s="8" t="inlineStr">
        <is>
          <t>FAIR</t>
        </is>
      </c>
    </row>
    <row r="8" ht="30" customHeight="1">
      <c r="A8" s="33" t="inlineStr">
        <is>
          <t xml:space="preserve">Concrete has deterioration 25% and/or rusting 25% and/or lose bolts 25% </t>
        </is>
      </c>
      <c r="B8" s="33" t="inlineStr">
        <is>
          <t xml:space="preserve">Pole Misaligned 7% and or any other deterioration 7% </t>
        </is>
      </c>
      <c r="C8" s="33" t="inlineStr">
        <is>
          <t>Paint faded or Peeled off 10% with rusting</t>
        </is>
      </c>
      <c r="D8" s="33" t="inlineStr">
        <is>
          <t xml:space="preserve">Signal Light and/or Signal Head has deterioration more than 25% </t>
        </is>
      </c>
      <c r="E8" s="3" t="n">
        <v>60</v>
      </c>
      <c r="F8" s="3" t="n">
        <v>42</v>
      </c>
      <c r="G8" s="3" t="n">
        <v>18</v>
      </c>
      <c r="H8" s="3" t="n">
        <v>60</v>
      </c>
      <c r="I8" s="3">
        <f>0.2*E8+0.2*(F8+G8)+0.6*H8</f>
        <v/>
      </c>
      <c r="J8" s="8" t="inlineStr">
        <is>
          <t>FAIR</t>
        </is>
      </c>
    </row>
    <row r="9" ht="30" customHeight="1">
      <c r="A9" s="33" t="inlineStr">
        <is>
          <t xml:space="preserve">Concrete has minor deterioration 20% and/or rusting 20% and/or lose bolts 20% </t>
        </is>
      </c>
      <c r="B9" s="33" t="inlineStr">
        <is>
          <t xml:space="preserve">Pole Misaligned 5% and or any other deterioration 5% </t>
        </is>
      </c>
      <c r="C9" s="33" t="inlineStr">
        <is>
          <t xml:space="preserve">Paint faded or Peeled off 5% </t>
        </is>
      </c>
      <c r="D9" s="33" t="inlineStr">
        <is>
          <t xml:space="preserve">Signal Light and/or Signal Head has deterioration more than 20% </t>
        </is>
      </c>
      <c r="E9" s="3" t="n">
        <v>70</v>
      </c>
      <c r="F9" s="3" t="n">
        <v>49</v>
      </c>
      <c r="G9" s="3" t="n">
        <v>21</v>
      </c>
      <c r="H9" s="3" t="n">
        <v>70</v>
      </c>
      <c r="I9" s="3">
        <f>0.2*E9+0.2*(F9+G9)+0.6*H9</f>
        <v/>
      </c>
      <c r="J9" s="8" t="inlineStr">
        <is>
          <t>FAIR</t>
        </is>
      </c>
    </row>
    <row r="10" ht="30" customHeight="1">
      <c r="A10" s="33" t="inlineStr">
        <is>
          <t xml:space="preserve">Concrete has minor deterioration 10% and/or rusting 10% and/or lose bolts 10% </t>
        </is>
      </c>
      <c r="B10" s="33" t="inlineStr">
        <is>
          <t xml:space="preserve">Pole Misaligned Minor 2% and or any other minor deterioration 2% </t>
        </is>
      </c>
      <c r="C10" s="33" t="inlineStr">
        <is>
          <t xml:space="preserve">Minor Paint faded or Peeled off 2% </t>
        </is>
      </c>
      <c r="D10" s="33" t="inlineStr">
        <is>
          <t xml:space="preserve">Signal Light and/or Signal Head has deterioration more than 10% </t>
        </is>
      </c>
      <c r="E10" s="3" t="n">
        <v>80</v>
      </c>
      <c r="F10" s="3" t="n">
        <v>56</v>
      </c>
      <c r="G10" s="3" t="n">
        <v>24</v>
      </c>
      <c r="H10" s="3" t="n">
        <v>80</v>
      </c>
      <c r="I10" s="3">
        <f>0.2*E10+0.2*(F10+G10)+0.6*H10</f>
        <v/>
      </c>
      <c r="J10" s="8" t="inlineStr">
        <is>
          <t>GOOD</t>
        </is>
      </c>
    </row>
    <row r="11" ht="30" customHeight="1">
      <c r="A11" s="33" t="inlineStr">
        <is>
          <t xml:space="preserve">Concrete has minor deterioration 5% and/or rusting 5% and/or lose bolts 5% </t>
        </is>
      </c>
      <c r="B11" s="33" t="inlineStr">
        <is>
          <t xml:space="preserve">Pole Misaligned Minor 1% and or any other minor deterioration 1% </t>
        </is>
      </c>
      <c r="C11" s="33" t="inlineStr">
        <is>
          <t xml:space="preserve">Minor Paint faded or Peeled off 1% </t>
        </is>
      </c>
      <c r="D11" s="33" t="inlineStr">
        <is>
          <t xml:space="preserve">Signal Light and/or Signal Head has deterioration more than 5% </t>
        </is>
      </c>
      <c r="E11" s="3" t="n">
        <v>90</v>
      </c>
      <c r="F11" s="3" t="n">
        <v>63</v>
      </c>
      <c r="G11" s="3" t="n">
        <v>27</v>
      </c>
      <c r="H11" s="3" t="n">
        <v>90</v>
      </c>
      <c r="I11" s="3">
        <f>0.2*E11+0.2*(F11+G11)+0.6*H11</f>
        <v/>
      </c>
      <c r="J11" s="8" t="inlineStr">
        <is>
          <t>GOOD</t>
        </is>
      </c>
    </row>
    <row r="12">
      <c r="A12" s="33" t="inlineStr">
        <is>
          <t>No Defect Found</t>
        </is>
      </c>
      <c r="B12" s="33" t="inlineStr">
        <is>
          <t>No Defect Found</t>
        </is>
      </c>
      <c r="C12" s="33" t="inlineStr">
        <is>
          <t>No Defect Found</t>
        </is>
      </c>
      <c r="D12" s="33" t="inlineStr">
        <is>
          <t>No Defect Found</t>
        </is>
      </c>
      <c r="E12" s="3" t="n">
        <v>100</v>
      </c>
      <c r="F12" s="3" t="n">
        <v>70</v>
      </c>
      <c r="G12" s="3" t="n">
        <v>30</v>
      </c>
      <c r="H12" s="3" t="n">
        <v>100</v>
      </c>
      <c r="I12" s="3">
        <f>0.2*E12+0.2*(F12+G12)+0.6*H12</f>
        <v/>
      </c>
      <c r="J12" s="8" t="inlineStr">
        <is>
          <t>GOOD</t>
        </is>
      </c>
    </row>
    <row r="13"/>
    <row r="14"/>
    <row r="15"/>
    <row r="16"/>
    <row r="17"/>
    <row r="18"/>
    <row r="19"/>
    <row r="20"/>
    <row r="21"/>
    <row r="22">
      <c r="A22" t="inlineStr">
        <is>
          <t>``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B1" sqref="B1"/>
    </sheetView>
  </sheetViews>
  <sheetFormatPr baseColWidth="8" defaultRowHeight="15"/>
  <cols>
    <col width="87.85546875" bestFit="1" customWidth="1" min="1" max="1"/>
    <col width="19.7109375" bestFit="1" customWidth="1" min="2" max="2"/>
    <col width="7" bestFit="1" customWidth="1" min="3" max="3"/>
    <col width="10.28515625" bestFit="1" customWidth="1" min="4" max="4"/>
  </cols>
  <sheetData>
    <row r="1">
      <c r="A1" s="87" t="inlineStr">
        <is>
          <t>Functional Defects</t>
        </is>
      </c>
      <c r="B1" s="87" t="inlineStr">
        <is>
          <t>Functional Rating (F)</t>
        </is>
      </c>
      <c r="C1" s="87" t="inlineStr">
        <is>
          <t>ACI = F</t>
        </is>
      </c>
      <c r="D1" s="87" t="inlineStr">
        <is>
          <t>ACI Rating</t>
        </is>
      </c>
    </row>
    <row r="2">
      <c r="A2" s="4" t="inlineStr">
        <is>
          <t>Controller box door is completely damaged and or missing</t>
        </is>
      </c>
      <c r="B2" s="8" t="n">
        <v>0</v>
      </c>
      <c r="C2" s="8">
        <f>B2</f>
        <v/>
      </c>
      <c r="D2" s="8" t="inlineStr">
        <is>
          <t>POOR</t>
        </is>
      </c>
    </row>
    <row r="3">
      <c r="A3" s="4" t="inlineStr">
        <is>
          <t>Controller box door has missing panel and or damaged 60%</t>
        </is>
      </c>
      <c r="B3" s="8" t="n">
        <v>10</v>
      </c>
      <c r="C3" s="8">
        <f>B3</f>
        <v/>
      </c>
      <c r="D3" s="8" t="inlineStr">
        <is>
          <t>POOR</t>
        </is>
      </c>
    </row>
    <row r="4">
      <c r="A4" s="4" t="inlineStr">
        <is>
          <t>Controller box door, hinges, handle, and lock have damages 55% and or Corrosion 55%</t>
        </is>
      </c>
      <c r="B4" s="8" t="n">
        <v>20</v>
      </c>
      <c r="C4" s="8">
        <f>B4</f>
        <v/>
      </c>
      <c r="D4" s="8" t="inlineStr">
        <is>
          <t>POOR</t>
        </is>
      </c>
    </row>
    <row r="5">
      <c r="A5" s="4" t="inlineStr">
        <is>
          <t>Controller box door, hinges, handle, and lock have damages 50% and or Corrosion 50%</t>
        </is>
      </c>
      <c r="B5" s="8" t="n">
        <v>30</v>
      </c>
      <c r="C5" s="8">
        <f>B5</f>
        <v/>
      </c>
      <c r="D5" s="8" t="inlineStr">
        <is>
          <t>POOR</t>
        </is>
      </c>
    </row>
    <row r="6">
      <c r="A6" s="4" t="inlineStr">
        <is>
          <t>Controller box door, hinges, handle, and lock have damages 40% and or Corrosion 40%</t>
        </is>
      </c>
      <c r="B6" s="8" t="n">
        <v>40</v>
      </c>
      <c r="C6" s="8">
        <f>B6</f>
        <v/>
      </c>
      <c r="D6" s="8" t="inlineStr">
        <is>
          <t>POOR</t>
        </is>
      </c>
    </row>
    <row r="7">
      <c r="A7" s="4" t="inlineStr">
        <is>
          <t>Controller box door, hinges, handle, and lock have deterioration 30% and or Corrosion 30%</t>
        </is>
      </c>
      <c r="B7" s="8" t="n">
        <v>50</v>
      </c>
      <c r="C7" s="8">
        <f>B7</f>
        <v/>
      </c>
      <c r="D7" s="8" t="inlineStr">
        <is>
          <t>FAIR</t>
        </is>
      </c>
    </row>
    <row r="8">
      <c r="A8" s="4" t="inlineStr">
        <is>
          <t>Controller box door, hinges, handle, and lock have deterioration 20% and or Corrosion 20%</t>
        </is>
      </c>
      <c r="B8" s="8" t="n">
        <v>60</v>
      </c>
      <c r="C8" s="8">
        <f>B8</f>
        <v/>
      </c>
      <c r="D8" s="8" t="inlineStr">
        <is>
          <t>FAIR</t>
        </is>
      </c>
    </row>
    <row r="9">
      <c r="A9" s="4" t="inlineStr">
        <is>
          <t>Controller box door, hinges, handle, and lock have mino deterioration 10% and or Corrosion 10%</t>
        </is>
      </c>
      <c r="B9" s="8" t="n">
        <v>70</v>
      </c>
      <c r="C9" s="8">
        <f>B9</f>
        <v/>
      </c>
      <c r="D9" s="8" t="inlineStr">
        <is>
          <t>FAIR</t>
        </is>
      </c>
      <c r="F9" s="22" t="n"/>
    </row>
    <row r="10">
      <c r="A10" s="4" t="inlineStr">
        <is>
          <t>Controller box door, hinges, handle, and lock have minor deterioration 5% and or Corrosion 5%</t>
        </is>
      </c>
      <c r="B10" s="8" t="n">
        <v>80</v>
      </c>
      <c r="C10" s="8">
        <f>B10</f>
        <v/>
      </c>
      <c r="D10" s="8" t="inlineStr">
        <is>
          <t>GOOD</t>
        </is>
      </c>
      <c r="F10" s="22" t="n"/>
    </row>
    <row r="11">
      <c r="A11" s="4" t="inlineStr">
        <is>
          <t>Controller box door, hinges, handle, and lock have minor deterioration 1% and or Corrosion 1%</t>
        </is>
      </c>
      <c r="B11" s="8" t="n">
        <v>90</v>
      </c>
      <c r="C11" s="8">
        <f>B11</f>
        <v/>
      </c>
      <c r="D11" s="8" t="inlineStr">
        <is>
          <t>GOOD</t>
        </is>
      </c>
    </row>
    <row r="12">
      <c r="A12" s="4" t="inlineStr">
        <is>
          <t>No Defect Found</t>
        </is>
      </c>
      <c r="B12" s="8" t="n">
        <v>100</v>
      </c>
      <c r="C12" s="8">
        <f>B12</f>
        <v/>
      </c>
      <c r="D12" s="8" t="inlineStr">
        <is>
          <t>GOOD</t>
        </is>
      </c>
    </row>
    <row r="13">
      <c r="F13" s="22" t="n"/>
    </row>
    <row r="14">
      <c r="F14" s="2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B1" sqref="B1"/>
    </sheetView>
  </sheetViews>
  <sheetFormatPr baseColWidth="8" defaultRowHeight="15"/>
  <cols>
    <col width="106.85546875" bestFit="1" customWidth="1" min="1" max="1"/>
    <col width="21.5703125" bestFit="1" customWidth="1" min="2" max="2"/>
    <col width="61" bestFit="1" customWidth="1" min="3" max="3"/>
    <col width="25.85546875" bestFit="1" customWidth="1" min="4" max="4"/>
    <col width="47.7109375" bestFit="1" customWidth="1" min="5" max="5"/>
    <col width="25.7109375" bestFit="1" customWidth="1" min="6" max="6"/>
    <col width="53.28515625" bestFit="1" customWidth="1" min="7" max="7"/>
    <col width="21.5703125" bestFit="1" customWidth="1" min="8" max="8"/>
    <col width="58.7109375" bestFit="1" customWidth="1" min="9" max="9"/>
    <col width="27.28515625" bestFit="1" customWidth="1" min="10" max="10"/>
    <col width="37.5703125" bestFit="1" customWidth="1" min="11" max="11"/>
    <col width="10.28515625" bestFit="1" customWidth="1" min="12" max="12"/>
  </cols>
  <sheetData>
    <row r="1" customFormat="1" s="7">
      <c r="A1" s="87" t="inlineStr">
        <is>
          <t>Foundation Defects</t>
        </is>
      </c>
      <c r="B1" s="87" t="inlineStr">
        <is>
          <t>Foundation Rating (F)</t>
        </is>
      </c>
      <c r="C1" s="87" t="inlineStr">
        <is>
          <t>Pole Functional Defects</t>
        </is>
      </c>
      <c r="D1" s="87" t="inlineStr">
        <is>
          <t>Pole Functional Rating (FC)</t>
        </is>
      </c>
      <c r="E1" s="87" t="inlineStr">
        <is>
          <t>Pole Appearance Defects</t>
        </is>
      </c>
      <c r="F1" s="87" t="inlineStr">
        <is>
          <t>Pole Appearance Rating (A)</t>
        </is>
      </c>
      <c r="G1" s="87" t="inlineStr">
        <is>
          <t>Lighting Arm Defects</t>
        </is>
      </c>
      <c r="H1" s="87" t="inlineStr">
        <is>
          <t>Lighting Arm Rating (L)</t>
        </is>
      </c>
      <c r="I1" s="87" t="inlineStr">
        <is>
          <t>Street Light Lamp Defects</t>
        </is>
      </c>
      <c r="J1" s="87" t="inlineStr">
        <is>
          <t>Street Light Lamp Rating (LL)</t>
        </is>
      </c>
      <c r="K1" s="87" t="inlineStr">
        <is>
          <t>ACI = 0.2*F + 0.2*(FC + A) + 0.3*L + 0.3*LL</t>
        </is>
      </c>
      <c r="L1" s="87" t="inlineStr">
        <is>
          <t>ACI Rating</t>
        </is>
      </c>
    </row>
    <row r="2">
      <c r="A2" s="4" t="inlineStr">
        <is>
          <t xml:space="preserve">Concrete has deterioration more than 60% and/or rusting more than 60% and/or lose or missing bolts  more than 60% </t>
        </is>
      </c>
      <c r="B2" s="3" t="n">
        <v>0</v>
      </c>
      <c r="C2" s="4" t="inlineStr">
        <is>
          <t>Pole Misaligned or damaged completely</t>
        </is>
      </c>
      <c r="D2" s="3" t="n">
        <v>0</v>
      </c>
      <c r="E2" s="4" t="inlineStr">
        <is>
          <t>Paint faded or Peeled off more than 40% with rusting</t>
        </is>
      </c>
      <c r="F2" s="3" t="n">
        <v>0</v>
      </c>
      <c r="G2" s="4" t="inlineStr">
        <is>
          <t>Lighting arm have damages 40% and or misaligned 40%</t>
        </is>
      </c>
      <c r="H2" s="3" t="n">
        <v>0</v>
      </c>
      <c r="I2" s="3" t="inlineStr">
        <is>
          <t>Street Light and or lamp cover are damaged 40% and or missing</t>
        </is>
      </c>
      <c r="J2" s="3" t="n">
        <v>0</v>
      </c>
      <c r="K2" s="3">
        <f>B2*0.2+0.2*(D2+F2)+0.3*H2+0.3*J2</f>
        <v/>
      </c>
      <c r="L2" s="8" t="inlineStr">
        <is>
          <t>POOR</t>
        </is>
      </c>
    </row>
    <row r="3">
      <c r="A3" s="4" t="inlineStr">
        <is>
          <t xml:space="preserve">Concrete has deterioration 55% and/or rusting 55% and/or lose bolts 55% </t>
        </is>
      </c>
      <c r="B3" s="3" t="n">
        <v>10</v>
      </c>
      <c r="C3" s="4" t="inlineStr">
        <is>
          <t>Pole Misaligned 35% and or any other deterioration 35%</t>
        </is>
      </c>
      <c r="D3" s="3" t="n">
        <v>7</v>
      </c>
      <c r="E3" s="4" t="inlineStr">
        <is>
          <t>Paint faded or Peeled off 40% with rusting</t>
        </is>
      </c>
      <c r="F3" s="3" t="n">
        <v>3</v>
      </c>
      <c r="G3" s="4" t="inlineStr">
        <is>
          <t>Lighting arm have damages 35% and or misaligned 35%</t>
        </is>
      </c>
      <c r="H3" s="3" t="n">
        <v>10</v>
      </c>
      <c r="I3" s="3" t="inlineStr">
        <is>
          <t>Street Light and or lamp cover are damaged 35% and or missing</t>
        </is>
      </c>
      <c r="J3" s="3" t="n">
        <v>10</v>
      </c>
      <c r="K3" s="3">
        <f>B3*0.2+0.2*(D3+F3)+0.3*H3+0.3*J3</f>
        <v/>
      </c>
      <c r="L3" s="8" t="inlineStr">
        <is>
          <t>POOR</t>
        </is>
      </c>
    </row>
    <row r="4">
      <c r="A4" s="4" t="inlineStr">
        <is>
          <t xml:space="preserve">Concrete has deterioration 50% and/or rusting 50% and/or lose bolts 50% </t>
        </is>
      </c>
      <c r="B4" s="3" t="n">
        <v>20</v>
      </c>
      <c r="C4" s="4" t="inlineStr">
        <is>
          <t xml:space="preserve">Pole Misaligned 30% and or any other deterioration 30% </t>
        </is>
      </c>
      <c r="D4" s="3" t="n">
        <v>14</v>
      </c>
      <c r="E4" s="4" t="inlineStr">
        <is>
          <t>Paint faded or Peeled off 30% with rusting</t>
        </is>
      </c>
      <c r="F4" s="3" t="n">
        <v>6</v>
      </c>
      <c r="G4" s="4" t="inlineStr">
        <is>
          <t>Lighting arm have damages 30% and or misaligned 30%</t>
        </is>
      </c>
      <c r="H4" s="3" t="n">
        <v>20</v>
      </c>
      <c r="I4" s="3" t="inlineStr">
        <is>
          <t>Street Light and or lamp cover are damaged 30% and or missing</t>
        </is>
      </c>
      <c r="J4" s="3" t="n">
        <v>20</v>
      </c>
      <c r="K4" s="3">
        <f>B4*0.2+0.2*(D4+F4)+0.3*H4+0.3*J4</f>
        <v/>
      </c>
      <c r="L4" s="8" t="inlineStr">
        <is>
          <t>POOR</t>
        </is>
      </c>
    </row>
    <row r="5">
      <c r="A5" s="4" t="inlineStr">
        <is>
          <t xml:space="preserve">Concrete has deterioration 45% and/or rusting 45% and/or lose bolts 45% </t>
        </is>
      </c>
      <c r="B5" s="3" t="n">
        <v>30</v>
      </c>
      <c r="C5" s="4" t="inlineStr">
        <is>
          <t xml:space="preserve">Pole Misaligned 25% and or any other deterioration 25% </t>
        </is>
      </c>
      <c r="D5" s="3" t="n">
        <v>21</v>
      </c>
      <c r="E5" s="4" t="inlineStr">
        <is>
          <t>Paint faded or Peeled off 25% with rusting</t>
        </is>
      </c>
      <c r="F5" s="3" t="n">
        <v>9</v>
      </c>
      <c r="G5" s="4" t="inlineStr">
        <is>
          <t>Lighting arm have damages 25% and or misaligned 25%</t>
        </is>
      </c>
      <c r="H5" s="3" t="n">
        <v>30</v>
      </c>
      <c r="I5" s="3" t="inlineStr">
        <is>
          <t>Street Light and or lamp cover are damaged 25% and or missing</t>
        </is>
      </c>
      <c r="J5" s="3" t="n">
        <v>30</v>
      </c>
      <c r="K5" s="3">
        <f>B5*0.2+0.2*(D5+F5)+0.3*H5+0.3*J5</f>
        <v/>
      </c>
      <c r="L5" s="8" t="inlineStr">
        <is>
          <t>POOR</t>
        </is>
      </c>
    </row>
    <row r="6">
      <c r="A6" s="4" t="inlineStr">
        <is>
          <t xml:space="preserve">Concrete has deterioration 40% and/or rusting 40% and/or lose bolts 40% </t>
        </is>
      </c>
      <c r="B6" s="3" t="n">
        <v>40</v>
      </c>
      <c r="C6" s="4" t="inlineStr">
        <is>
          <t xml:space="preserve">Pole Misaligned 20% and or any other deterioration 20% </t>
        </is>
      </c>
      <c r="D6" s="3" t="n">
        <v>28</v>
      </c>
      <c r="E6" s="4" t="inlineStr">
        <is>
          <t>Paint faded or Peeled off 20%  with rusting</t>
        </is>
      </c>
      <c r="F6" s="3" t="n">
        <v>12</v>
      </c>
      <c r="G6" s="4" t="inlineStr">
        <is>
          <t>Lighting arm has deterioration 20% and or misaligned 20%</t>
        </is>
      </c>
      <c r="H6" s="3" t="n">
        <v>40</v>
      </c>
      <c r="I6" s="3" t="inlineStr">
        <is>
          <t xml:space="preserve">Street Light bulb and or lamp cover are damaged more than 20% </t>
        </is>
      </c>
      <c r="J6" s="3" t="n">
        <v>40</v>
      </c>
      <c r="K6" s="3">
        <f>B6*0.2+0.2*(D6+F6)+0.3*H6+0.3*J6</f>
        <v/>
      </c>
      <c r="L6" s="8" t="inlineStr">
        <is>
          <t>POOR</t>
        </is>
      </c>
    </row>
    <row r="7">
      <c r="A7" s="4" t="inlineStr">
        <is>
          <t xml:space="preserve">Concrete has deterioration 30% and/or rusting 30% and/or lose bolts 30% </t>
        </is>
      </c>
      <c r="B7" s="3" t="n">
        <v>50</v>
      </c>
      <c r="C7" s="4" t="inlineStr">
        <is>
          <t xml:space="preserve">Pole Misaligned 10% and or any other deterioration 10% </t>
        </is>
      </c>
      <c r="D7" s="3" t="n">
        <v>35</v>
      </c>
      <c r="E7" s="4" t="inlineStr">
        <is>
          <t>Paint faded or Peeled off 15% with rusting</t>
        </is>
      </c>
      <c r="F7" s="3" t="n">
        <v>15</v>
      </c>
      <c r="G7" s="4" t="inlineStr">
        <is>
          <t>Lighting arm has deterioration 10% and or misaligned 10%</t>
        </is>
      </c>
      <c r="H7" s="3" t="n">
        <v>50</v>
      </c>
      <c r="I7" s="3" t="inlineStr">
        <is>
          <t>Street Light bulb and or lamp cover has minor deterioration 10%</t>
        </is>
      </c>
      <c r="J7" s="3" t="n">
        <v>50</v>
      </c>
      <c r="K7" s="3">
        <f>B7*0.2+0.2*(D7+F7)+0.3*H7+0.3*J7</f>
        <v/>
      </c>
      <c r="L7" s="8" t="inlineStr">
        <is>
          <t>FAIR</t>
        </is>
      </c>
    </row>
    <row r="8">
      <c r="A8" s="4" t="inlineStr">
        <is>
          <t xml:space="preserve">Concrete has deterioration 25% and/or rusting 25% and/or lose bolts 25% </t>
        </is>
      </c>
      <c r="B8" s="3" t="n">
        <v>60</v>
      </c>
      <c r="C8" s="4" t="inlineStr">
        <is>
          <t xml:space="preserve">Pole Misaligned 7% and or any other deterioration 7% </t>
        </is>
      </c>
      <c r="D8" s="3" t="n">
        <v>42</v>
      </c>
      <c r="E8" s="4" t="inlineStr">
        <is>
          <t>Paint faded or Peeled off 10% with rusting</t>
        </is>
      </c>
      <c r="F8" s="3" t="n">
        <v>18</v>
      </c>
      <c r="G8" s="4" t="inlineStr">
        <is>
          <t>Lighting arm has deterioration 7% and or misaligned 7%</t>
        </is>
      </c>
      <c r="H8" s="3" t="n">
        <v>60</v>
      </c>
      <c r="I8" s="3" t="inlineStr">
        <is>
          <t>Street Light bulb and or lamp cover has minor deterioration 7%</t>
        </is>
      </c>
      <c r="J8" s="3" t="n">
        <v>60</v>
      </c>
      <c r="K8" s="3">
        <f>B8*0.2+0.2*(D8+F8)+0.3*H8+0.3*J8</f>
        <v/>
      </c>
      <c r="L8" s="8" t="inlineStr">
        <is>
          <t>FAIR</t>
        </is>
      </c>
    </row>
    <row r="9">
      <c r="A9" s="4" t="inlineStr">
        <is>
          <t xml:space="preserve">Concrete has minor deterioration 20% and/or rusting 20% and/or lose bolts 20% </t>
        </is>
      </c>
      <c r="B9" s="3" t="n">
        <v>70</v>
      </c>
      <c r="C9" s="4" t="inlineStr">
        <is>
          <t xml:space="preserve">Pole Misaligned 5% and or any other deterioration 5% </t>
        </is>
      </c>
      <c r="D9" s="3" t="n">
        <v>49</v>
      </c>
      <c r="E9" s="4" t="inlineStr">
        <is>
          <t xml:space="preserve">Paint faded or Peeled off 5% </t>
        </is>
      </c>
      <c r="F9" s="3" t="n">
        <v>21</v>
      </c>
      <c r="G9" s="4" t="inlineStr">
        <is>
          <t>Lighting arm has deterioration 5% and or misaligned 5%</t>
        </is>
      </c>
      <c r="H9" s="3" t="n">
        <v>70</v>
      </c>
      <c r="I9" s="3" t="inlineStr">
        <is>
          <t>Street Light bulb and or lamp cover has minor deterioration 5%</t>
        </is>
      </c>
      <c r="J9" s="3" t="n">
        <v>70</v>
      </c>
      <c r="K9" s="3">
        <f>B9*0.2+0.2*(D9+F9)+0.3*H9+0.3*J9</f>
        <v/>
      </c>
      <c r="L9" s="8" t="inlineStr">
        <is>
          <t>FAIR</t>
        </is>
      </c>
    </row>
    <row r="10">
      <c r="A10" s="4" t="inlineStr">
        <is>
          <t xml:space="preserve">Concrete has minor deterioration 10% and/or rusting 10% and/or lose bolts 10% </t>
        </is>
      </c>
      <c r="B10" s="3" t="n">
        <v>80</v>
      </c>
      <c r="C10" s="4" t="inlineStr">
        <is>
          <t xml:space="preserve">Pole Misaligned Minor 2% and or any other minor deterioration 2% </t>
        </is>
      </c>
      <c r="D10" s="3" t="n">
        <v>56</v>
      </c>
      <c r="E10" s="4" t="inlineStr">
        <is>
          <t xml:space="preserve">Minor Paint faded or Peeled off 2% </t>
        </is>
      </c>
      <c r="F10" s="3" t="n">
        <v>24</v>
      </c>
      <c r="G10" s="4" t="inlineStr">
        <is>
          <t>Lighting arm minor deterioration 3%</t>
        </is>
      </c>
      <c r="H10" s="3" t="n">
        <v>80</v>
      </c>
      <c r="I10" s="3" t="inlineStr">
        <is>
          <t>Street Light bulb and or lamp cover has minor deterioration 3%</t>
        </is>
      </c>
      <c r="J10" s="3" t="n">
        <v>80</v>
      </c>
      <c r="K10" s="3">
        <f>B10*0.2+0.2*(D10+F10)+0.3*H10+0.3*J10</f>
        <v/>
      </c>
      <c r="L10" s="8" t="inlineStr">
        <is>
          <t>GOOD</t>
        </is>
      </c>
    </row>
    <row r="11">
      <c r="A11" s="4" t="inlineStr">
        <is>
          <t xml:space="preserve">Concrete has minor deterioration 5% and/or rusting 5% and/or lose bolts 5% </t>
        </is>
      </c>
      <c r="B11" s="3" t="n">
        <v>90</v>
      </c>
      <c r="C11" s="4" t="inlineStr">
        <is>
          <t xml:space="preserve">Pole Misaligned Minor 1% and or any other minor deterioration 1% </t>
        </is>
      </c>
      <c r="D11" s="3" t="n">
        <v>63</v>
      </c>
      <c r="E11" s="4" t="inlineStr">
        <is>
          <t xml:space="preserve">Minor Paint faded or Peeled off 1% </t>
        </is>
      </c>
      <c r="F11" s="3" t="n">
        <v>27</v>
      </c>
      <c r="G11" s="4" t="inlineStr">
        <is>
          <t>Lighting arm very minor deterioration 1%</t>
        </is>
      </c>
      <c r="H11" s="3" t="n">
        <v>90</v>
      </c>
      <c r="I11" s="3" t="inlineStr">
        <is>
          <t>Street Light bulb has very minor deterioration 1%</t>
        </is>
      </c>
      <c r="J11" s="3" t="n">
        <v>90</v>
      </c>
      <c r="K11" s="3">
        <f>B11*0.2+0.2*(D11+F11)+0.3*H11+0.3*J11</f>
        <v/>
      </c>
      <c r="L11" s="8" t="inlineStr">
        <is>
          <t>GOOD</t>
        </is>
      </c>
    </row>
    <row r="12">
      <c r="A12" s="4" t="inlineStr">
        <is>
          <t>No Defect Found</t>
        </is>
      </c>
      <c r="B12" s="3" t="n">
        <v>100</v>
      </c>
      <c r="C12" s="4" t="inlineStr">
        <is>
          <t>No Defect Found</t>
        </is>
      </c>
      <c r="D12" s="3" t="n">
        <v>70</v>
      </c>
      <c r="E12" s="4" t="inlineStr">
        <is>
          <t>No Defect Found</t>
        </is>
      </c>
      <c r="F12" s="3" t="n">
        <v>30</v>
      </c>
      <c r="G12" s="4" t="inlineStr">
        <is>
          <t>No Defect Found</t>
        </is>
      </c>
      <c r="H12" s="3" t="n">
        <v>100</v>
      </c>
      <c r="I12" s="3" t="inlineStr">
        <is>
          <t>No Defect Found</t>
        </is>
      </c>
      <c r="J12" s="3" t="n">
        <v>100</v>
      </c>
      <c r="K12" s="3">
        <f>B12*0.2+0.2*(D12+F12)+0.3*H12+0.3*J12</f>
        <v/>
      </c>
      <c r="L12" s="8" t="inlineStr">
        <is>
          <t>GOOD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A1:S12"/>
  <sheetViews>
    <sheetView zoomScale="80" zoomScaleNormal="80" workbookViewId="0">
      <selection activeCell="A1" sqref="A1:I8"/>
    </sheetView>
  </sheetViews>
  <sheetFormatPr baseColWidth="8" defaultRowHeight="15"/>
  <cols>
    <col width="36.7109375" bestFit="1" customWidth="1" min="1" max="1"/>
    <col width="38.42578125" bestFit="1" customWidth="1" min="2" max="2"/>
    <col width="37.140625" bestFit="1" customWidth="1" min="3" max="3"/>
    <col width="30.7109375" bestFit="1" customWidth="1" min="4" max="4"/>
    <col width="40.140625" customWidth="1" style="27" min="10" max="10"/>
    <col width="40" bestFit="1" customWidth="1" style="27" min="11" max="11"/>
    <col width="40.140625" customWidth="1" style="27" min="12" max="12"/>
    <col width="27.28515625" bestFit="1" customWidth="1" style="27" min="13" max="13"/>
    <col width="20.42578125" bestFit="1" customWidth="1" style="27" min="14" max="14"/>
    <col width="31.42578125" bestFit="1" customWidth="1" style="27" min="15" max="15"/>
    <col width="22.5703125" bestFit="1" customWidth="1" style="27" min="16" max="16"/>
    <col width="17" bestFit="1" customWidth="1" style="27" min="17" max="17"/>
    <col width="38.5703125" customWidth="1" min="18" max="18"/>
    <col width="10.5703125" bestFit="1" customWidth="1" min="19" max="19"/>
  </cols>
  <sheetData>
    <row r="1" ht="24" customFormat="1" customHeight="1" s="15">
      <c r="A1" s="91" t="inlineStr">
        <is>
          <t>Public Shed Asset Condition Index Calculator (ACI-PS)</t>
        </is>
      </c>
      <c r="J1" s="84" t="inlineStr">
        <is>
          <t>Foundation Defects</t>
        </is>
      </c>
      <c r="K1" s="84" t="inlineStr">
        <is>
          <t>Column Functionality Defects</t>
        </is>
      </c>
      <c r="L1" s="84" t="inlineStr">
        <is>
          <t>Column Appearance Defects</t>
        </is>
      </c>
      <c r="M1" s="84" t="inlineStr">
        <is>
          <t>Roof Defects</t>
        </is>
      </c>
      <c r="N1" s="84" t="inlineStr">
        <is>
          <t>Foundation Rating (F)</t>
        </is>
      </c>
      <c r="O1" s="84" t="inlineStr">
        <is>
          <t>Column Functionality Rating (FC)</t>
        </is>
      </c>
      <c r="P1" s="84" t="inlineStr">
        <is>
          <t>Column Appearance (A)</t>
        </is>
      </c>
      <c r="Q1" s="84" t="inlineStr">
        <is>
          <t>Roof Defects ( R )</t>
        </is>
      </c>
      <c r="R1" s="87" t="inlineStr">
        <is>
          <t>ACI = 0.4*F + 0.3*(FC + A) + 0.3*R</t>
        </is>
      </c>
      <c r="S1" s="87" t="inlineStr">
        <is>
          <t>ACI Rating</t>
        </is>
      </c>
    </row>
    <row r="2" customFormat="1" s="15">
      <c r="J2" s="17" t="inlineStr">
        <is>
          <t>No Defect Found</t>
        </is>
      </c>
      <c r="K2" s="17" t="inlineStr">
        <is>
          <t>No Defect Found</t>
        </is>
      </c>
      <c r="L2" s="17" t="inlineStr">
        <is>
          <t>No Defect Found</t>
        </is>
      </c>
      <c r="M2" s="17" t="inlineStr">
        <is>
          <t>No Defect Found</t>
        </is>
      </c>
      <c r="N2" s="3" t="n">
        <v>100</v>
      </c>
      <c r="O2" s="3" t="n">
        <v>70</v>
      </c>
      <c r="P2" s="3" t="n">
        <v>30</v>
      </c>
      <c r="Q2" s="3" t="n">
        <v>100</v>
      </c>
      <c r="R2" s="8">
        <f>0.4*N2+0.3*(O2+P2)+0.3*Q2</f>
        <v/>
      </c>
      <c r="S2" s="8" t="inlineStr">
        <is>
          <t>GOOD</t>
        </is>
      </c>
    </row>
    <row r="3" ht="30" customHeight="1">
      <c r="A3" s="87" t="inlineStr">
        <is>
          <t>Select Appropriate Foundation Defects</t>
        </is>
      </c>
      <c r="B3" s="87" t="inlineStr">
        <is>
          <t>Select Appropriate Column Defects</t>
        </is>
      </c>
      <c r="C3" s="98" t="n"/>
      <c r="D3" s="87" t="inlineStr">
        <is>
          <t>Select Appropriate Roof Defects</t>
        </is>
      </c>
      <c r="F3" s="39" t="inlineStr">
        <is>
          <t>F</t>
        </is>
      </c>
      <c r="G3" s="39" t="inlineStr">
        <is>
          <t>F</t>
        </is>
      </c>
      <c r="H3" s="39" t="inlineStr">
        <is>
          <t>A</t>
        </is>
      </c>
      <c r="I3" s="39" t="inlineStr">
        <is>
          <t>R</t>
        </is>
      </c>
      <c r="J3" s="28" t="inlineStr">
        <is>
          <t xml:space="preserve">Concrete has minor deterioration 5% and/or rusting 5% and/or lose bolts 5% </t>
        </is>
      </c>
      <c r="K3" s="28" t="inlineStr">
        <is>
          <t xml:space="preserve">Column Misaligned Minor 1% and or any other minor deterioration 1% </t>
        </is>
      </c>
      <c r="L3" s="28" t="inlineStr">
        <is>
          <t xml:space="preserve">Minor Paint faded or Peeled off 1% </t>
        </is>
      </c>
      <c r="M3" s="28" t="inlineStr">
        <is>
          <t>Roof has deterioration and or corrosion 1%</t>
        </is>
      </c>
      <c r="N3" s="3" t="n">
        <v>90</v>
      </c>
      <c r="O3" s="3" t="n">
        <v>63</v>
      </c>
      <c r="P3" s="3" t="n">
        <v>27</v>
      </c>
      <c r="Q3" s="3" t="n">
        <v>90</v>
      </c>
      <c r="R3" s="8">
        <f>0.4*N3+0.3*(O3+P3)+0.3*Q3</f>
        <v/>
      </c>
      <c r="S3" s="8" t="inlineStr">
        <is>
          <t>GOOD</t>
        </is>
      </c>
    </row>
    <row r="4" ht="30" customHeight="1">
      <c r="A4" s="99" t="n"/>
      <c r="B4" s="87" t="inlineStr">
        <is>
          <t>Select Appropriate Functionality Defects</t>
        </is>
      </c>
      <c r="C4" s="87" t="inlineStr">
        <is>
          <t>Select Appropriate Appearance Defects</t>
        </is>
      </c>
      <c r="D4" s="99" t="n"/>
      <c r="F4" s="7">
        <f>VLOOKUP(A5, J2:N12, 5,FALSE)</f>
        <v/>
      </c>
      <c r="G4" s="7">
        <f>VLOOKUP(B5, K2:O12, 5,FALSE)</f>
        <v/>
      </c>
      <c r="H4" s="7">
        <f>VLOOKUP(C5, L2:P12, 5,FALSE)</f>
        <v/>
      </c>
      <c r="I4" s="7">
        <f>VLOOKUP(D5, M2:Q12, 5,FALSE)</f>
        <v/>
      </c>
      <c r="J4" s="28" t="inlineStr">
        <is>
          <t xml:space="preserve">Concrete has minor deterioration 10% and/or rusting 10% and/or lose bolts 10% </t>
        </is>
      </c>
      <c r="K4" s="28" t="inlineStr">
        <is>
          <t xml:space="preserve">Column Misaligned Minor 2% and or any other minor deterioration 2% </t>
        </is>
      </c>
      <c r="L4" s="28" t="inlineStr">
        <is>
          <t xml:space="preserve">Minor Paint faded or Peeled off 2% </t>
        </is>
      </c>
      <c r="M4" s="28" t="inlineStr">
        <is>
          <t>Roof has deterioration and or corrosion 2%</t>
        </is>
      </c>
      <c r="N4" s="3" t="n">
        <v>80</v>
      </c>
      <c r="O4" s="3" t="n">
        <v>56</v>
      </c>
      <c r="P4" s="3" t="n">
        <v>24</v>
      </c>
      <c r="Q4" s="3" t="n">
        <v>80</v>
      </c>
      <c r="R4" s="8">
        <f>0.4*N4+0.3*(O4+P4)+0.3*Q4</f>
        <v/>
      </c>
      <c r="S4" s="8" t="inlineStr">
        <is>
          <t>GOOD</t>
        </is>
      </c>
    </row>
    <row r="5" ht="30" customHeight="1">
      <c r="A5" s="90" t="inlineStr">
        <is>
          <t>No Defect Found</t>
        </is>
      </c>
      <c r="B5" s="90" t="inlineStr">
        <is>
          <t>No Defect Found</t>
        </is>
      </c>
      <c r="C5" s="8" t="inlineStr">
        <is>
          <t>No Defect Found</t>
        </is>
      </c>
      <c r="D5" s="8" t="inlineStr">
        <is>
          <t>No Defect Found</t>
        </is>
      </c>
      <c r="J5" s="28" t="inlineStr">
        <is>
          <t xml:space="preserve">Concrete has minor deterioration 20% and/or rusting 20% and/or lose bolts 20% </t>
        </is>
      </c>
      <c r="K5" s="28" t="inlineStr">
        <is>
          <t xml:space="preserve">Column Misaligned 5% and or any other deterioration 5% </t>
        </is>
      </c>
      <c r="L5" s="28" t="inlineStr">
        <is>
          <t xml:space="preserve">Paint faded or Peeled off 5% </t>
        </is>
      </c>
      <c r="M5" s="28" t="inlineStr">
        <is>
          <t>Roof has deterioration and or corrosion 5%</t>
        </is>
      </c>
      <c r="N5" s="3" t="n">
        <v>70</v>
      </c>
      <c r="O5" s="3" t="n">
        <v>49</v>
      </c>
      <c r="P5" s="3" t="n">
        <v>21</v>
      </c>
      <c r="Q5" s="3" t="n">
        <v>70</v>
      </c>
      <c r="R5" s="8">
        <f>0.4*N5+0.3*(O5+P5)+0.3*Q5</f>
        <v/>
      </c>
      <c r="S5" s="8" t="inlineStr">
        <is>
          <t>FAIR</t>
        </is>
      </c>
    </row>
    <row r="6" ht="30" customHeight="1">
      <c r="J6" s="28" t="inlineStr">
        <is>
          <t xml:space="preserve">Concrete has deterioration 25% and/or rusting 25% and/or lose bolts 25% </t>
        </is>
      </c>
      <c r="K6" s="28" t="inlineStr">
        <is>
          <t xml:space="preserve">Column Misaligned 7% and or any other deterioration 7% </t>
        </is>
      </c>
      <c r="L6" s="28" t="inlineStr">
        <is>
          <t>Paint faded or Peeled off 10% with rusting</t>
        </is>
      </c>
      <c r="M6" s="28" t="inlineStr">
        <is>
          <t>Roof has deterioration and or corrosion 10%</t>
        </is>
      </c>
      <c r="N6" s="3" t="n">
        <v>60</v>
      </c>
      <c r="O6" s="3" t="n">
        <v>42</v>
      </c>
      <c r="P6" s="3" t="n">
        <v>18</v>
      </c>
      <c r="Q6" s="3" t="n">
        <v>60</v>
      </c>
      <c r="R6" s="8">
        <f>0.4*N6+0.3*(O6+P6)+0.3*Q6</f>
        <v/>
      </c>
      <c r="S6" s="8" t="inlineStr">
        <is>
          <t>FAIR</t>
        </is>
      </c>
    </row>
    <row r="7" ht="30" customHeight="1">
      <c r="A7" s="65" t="inlineStr">
        <is>
          <t>(ACI-PS) Value</t>
        </is>
      </c>
      <c r="B7" s="65">
        <f>IF(OR(F4=0, G4=0, I4=0), 0, ROUND(0.4*F4 + 0.3*(G4+H4) + 0.3*I4, 0))</f>
        <v/>
      </c>
      <c r="J7" s="28" t="inlineStr">
        <is>
          <t xml:space="preserve">Concrete has deterioration 30% and/or rusting 30% and/or lose bolts 30% </t>
        </is>
      </c>
      <c r="K7" s="28" t="inlineStr">
        <is>
          <t xml:space="preserve">Column Misaligned 10% and or any other deterioration 10% </t>
        </is>
      </c>
      <c r="L7" s="28" t="inlineStr">
        <is>
          <t>Paint faded or Peeled off 15% with rusting</t>
        </is>
      </c>
      <c r="M7" s="28" t="inlineStr">
        <is>
          <t>Roof has deterioration and or corrosion 15%</t>
        </is>
      </c>
      <c r="N7" s="3" t="n">
        <v>50</v>
      </c>
      <c r="O7" s="3" t="n">
        <v>35</v>
      </c>
      <c r="P7" s="3" t="n">
        <v>15</v>
      </c>
      <c r="Q7" s="3" t="n">
        <v>50</v>
      </c>
      <c r="R7" s="8">
        <f>0.4*N7+0.3*(O7+P7)+0.3*Q7</f>
        <v/>
      </c>
      <c r="S7" s="8" t="inlineStr">
        <is>
          <t>FAIR</t>
        </is>
      </c>
    </row>
    <row r="8" ht="30" customHeight="1">
      <c r="A8" s="65" t="inlineStr">
        <is>
          <t>(ACI-PS) Condition</t>
        </is>
      </c>
      <c r="B8" s="65">
        <f>IF(AND(B7&gt;=80, B7&lt;=100), "GOOD", IF(AND(B7&gt;40, B7&lt;80), "FAIR", "POOR"))</f>
        <v/>
      </c>
      <c r="J8" s="28" t="inlineStr">
        <is>
          <t xml:space="preserve">Concrete has deterioration 40% and/or rusting 40% and/or lose bolts 40% </t>
        </is>
      </c>
      <c r="K8" s="28" t="inlineStr">
        <is>
          <t xml:space="preserve">Column Misaligned 20% and or any other deterioration 20% </t>
        </is>
      </c>
      <c r="L8" s="28" t="inlineStr">
        <is>
          <t>Paint faded or Peeled off 20%  with rusting</t>
        </is>
      </c>
      <c r="M8" s="28" t="inlineStr">
        <is>
          <t>Roof has deterioration and or corrosion 20%</t>
        </is>
      </c>
      <c r="N8" s="3" t="n">
        <v>40</v>
      </c>
      <c r="O8" s="3" t="n">
        <v>28</v>
      </c>
      <c r="P8" s="3" t="n">
        <v>12</v>
      </c>
      <c r="Q8" s="3" t="n">
        <v>40</v>
      </c>
      <c r="R8" s="8">
        <f>0.4*N8+0.3*(O8+P8)+0.3*Q8</f>
        <v/>
      </c>
      <c r="S8" s="8" t="inlineStr">
        <is>
          <t>POOR</t>
        </is>
      </c>
    </row>
    <row r="9" ht="30" customHeight="1">
      <c r="J9" s="28" t="inlineStr">
        <is>
          <t xml:space="preserve">Concrete has deterioration 45% and/or rusting 45% and/or lose bolts 45% </t>
        </is>
      </c>
      <c r="K9" s="28" t="inlineStr">
        <is>
          <t xml:space="preserve">Column Misaligned 25% and or any other deterioration 25% </t>
        </is>
      </c>
      <c r="L9" s="28" t="inlineStr">
        <is>
          <t>Paint faded or Peeled off 25% with rusting</t>
        </is>
      </c>
      <c r="M9" s="28" t="inlineStr">
        <is>
          <t>Roof has deterioration and or corrosion 25%</t>
        </is>
      </c>
      <c r="N9" s="3" t="n">
        <v>30</v>
      </c>
      <c r="O9" s="3" t="n">
        <v>21</v>
      </c>
      <c r="P9" s="3" t="n">
        <v>9</v>
      </c>
      <c r="Q9" s="3" t="n">
        <v>30</v>
      </c>
      <c r="R9" s="8">
        <f>0.4*N9+0.3*(O9+P9)+0.3*Q9</f>
        <v/>
      </c>
      <c r="S9" s="8" t="inlineStr">
        <is>
          <t>POOR</t>
        </is>
      </c>
    </row>
    <row r="10" ht="30" customHeight="1">
      <c r="J10" s="28" t="inlineStr">
        <is>
          <t xml:space="preserve">Concrete has deterioration 50% and/or rusting 50% and/or lose bolts 50% </t>
        </is>
      </c>
      <c r="K10" s="28" t="inlineStr">
        <is>
          <t xml:space="preserve">Column Misaligned 30% and or any other deterioration 30% </t>
        </is>
      </c>
      <c r="L10" s="28" t="inlineStr">
        <is>
          <t>Paint faded or Peeled off 30% with rusting</t>
        </is>
      </c>
      <c r="M10" s="28" t="inlineStr">
        <is>
          <t>Roof has deterioration and or corrosion 30%</t>
        </is>
      </c>
      <c r="N10" s="3" t="n">
        <v>20</v>
      </c>
      <c r="O10" s="3" t="n">
        <v>14</v>
      </c>
      <c r="P10" s="3" t="n">
        <v>6</v>
      </c>
      <c r="Q10" s="3" t="n">
        <v>20</v>
      </c>
      <c r="R10" s="8">
        <f>0.4*N10+0.3*(O10+P10)+0.3*Q10</f>
        <v/>
      </c>
      <c r="S10" s="8" t="inlineStr">
        <is>
          <t>POOR</t>
        </is>
      </c>
    </row>
    <row r="11" ht="30" customHeight="1">
      <c r="J11" s="28" t="inlineStr">
        <is>
          <t xml:space="preserve">Concrete has deterioration 55% and/or rusting 55% and/or lose bolts 55% </t>
        </is>
      </c>
      <c r="K11" s="28" t="inlineStr">
        <is>
          <t>Column Misaligned 35% and or any other deterioration 35%</t>
        </is>
      </c>
      <c r="L11" s="28" t="inlineStr">
        <is>
          <t>Paint faded or Peeled off 35% with rusting</t>
        </is>
      </c>
      <c r="M11" s="28" t="inlineStr">
        <is>
          <t>Roof has deterioration and or corrosion 35%</t>
        </is>
      </c>
      <c r="N11" s="3" t="n">
        <v>10</v>
      </c>
      <c r="O11" s="3" t="n">
        <v>7</v>
      </c>
      <c r="P11" s="3" t="n">
        <v>3</v>
      </c>
      <c r="Q11" s="3" t="n">
        <v>10</v>
      </c>
      <c r="R11" s="8">
        <f>0.4*N11+0.3*(O11+P11)+0.3*Q11</f>
        <v/>
      </c>
      <c r="S11" s="8" t="inlineStr">
        <is>
          <t>POOR</t>
        </is>
      </c>
    </row>
    <row r="12" ht="45" customFormat="1" customHeight="1" s="12">
      <c r="J12" s="28" t="inlineStr">
        <is>
          <t xml:space="preserve">Concrete has deterioration more than 60% and/or rusting more than 60% and/or lose or missing bolts  more than 60% </t>
        </is>
      </c>
      <c r="K12" s="28" t="inlineStr">
        <is>
          <t>Column Misaligned or damaged completely</t>
        </is>
      </c>
      <c r="L12" s="28" t="inlineStr">
        <is>
          <t>Paint faded or Peeled off more than 40% with rusting</t>
        </is>
      </c>
      <c r="M12" s="28" t="inlineStr">
        <is>
          <t>Roof has deterioration and or corrosion 40%</t>
        </is>
      </c>
      <c r="N12" s="8" t="n">
        <v>0</v>
      </c>
      <c r="O12" s="8" t="n">
        <v>0</v>
      </c>
      <c r="P12" s="8" t="n">
        <v>0</v>
      </c>
      <c r="Q12" s="8" t="n">
        <v>0</v>
      </c>
      <c r="R12" s="8">
        <f>0.4*N12+0.3*(O12+P12)+0.3*Q12</f>
        <v/>
      </c>
      <c r="S12" s="8" t="inlineStr">
        <is>
          <t>POOR</t>
        </is>
      </c>
    </row>
  </sheetData>
  <autoFilter ref="J1:S1">
    <sortState ref="J2:S12">
      <sortCondition descending="1" ref="R1"/>
    </sortState>
  </autoFilter>
  <mergeCells count="4">
    <mergeCell ref="A1:D1"/>
    <mergeCell ref="D3:D4"/>
    <mergeCell ref="A3:A4"/>
    <mergeCell ref="B3:C3"/>
  </mergeCells>
  <dataValidations count="4">
    <dataValidation sqref="D5" showDropDown="0" showInputMessage="1" showErrorMessage="1" allowBlank="1" type="list">
      <formula1>$M$2:$M$12</formula1>
    </dataValidation>
    <dataValidation sqref="C5" showDropDown="0" showInputMessage="1" showErrorMessage="1" allowBlank="1" type="list">
      <formula1>$L$2:$L$12</formula1>
    </dataValidation>
    <dataValidation sqref="B5" showDropDown="0" showInputMessage="1" showErrorMessage="1" allowBlank="1" type="list">
      <formula1>$K$2:$K$12</formula1>
    </dataValidation>
    <dataValidation sqref="A5" showDropDown="0" showInputMessage="1" showErrorMessage="1" allowBlank="1" type="list">
      <formula1>$J$2:$J$12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A1:S12"/>
  <sheetViews>
    <sheetView zoomScaleNormal="100" workbookViewId="0">
      <selection activeCell="C11" sqref="C11"/>
    </sheetView>
  </sheetViews>
  <sheetFormatPr baseColWidth="8" defaultRowHeight="15"/>
  <cols>
    <col width="36.7109375" bestFit="1" customWidth="1" min="1" max="1"/>
    <col width="38.42578125" bestFit="1" customWidth="1" min="2" max="2"/>
    <col width="37.140625" bestFit="1" customWidth="1" min="3" max="3"/>
    <col width="30.7109375" bestFit="1" customWidth="1" min="4" max="4"/>
    <col width="40.140625" customWidth="1" style="27" min="10" max="10"/>
    <col width="40" bestFit="1" customWidth="1" style="27" min="11" max="11"/>
    <col width="40.140625" customWidth="1" style="27" min="12" max="12"/>
    <col width="27.28515625" bestFit="1" customWidth="1" style="27" min="13" max="13"/>
    <col width="20.42578125" bestFit="1" customWidth="1" style="27" min="14" max="14"/>
    <col width="31.42578125" bestFit="1" customWidth="1" style="27" min="15" max="15"/>
    <col width="22.5703125" bestFit="1" customWidth="1" style="27" min="16" max="16"/>
    <col width="17" bestFit="1" customWidth="1" style="27" min="17" max="17"/>
    <col width="31" bestFit="1" customWidth="1" min="18" max="18"/>
    <col width="10.5703125" bestFit="1" customWidth="1" min="19" max="19"/>
  </cols>
  <sheetData>
    <row r="1" ht="24" customFormat="1" customHeight="1" s="15">
      <c r="A1" s="91" t="inlineStr">
        <is>
          <t>Parking Tent Asset Condition Index Calculator (ACI-PT)</t>
        </is>
      </c>
      <c r="J1" s="84" t="inlineStr">
        <is>
          <t>Foundation Defects</t>
        </is>
      </c>
      <c r="K1" s="84" t="inlineStr">
        <is>
          <t>Column Functionality Defects</t>
        </is>
      </c>
      <c r="L1" s="84" t="inlineStr">
        <is>
          <t>Column Appearance Defects</t>
        </is>
      </c>
      <c r="M1" s="84" t="inlineStr">
        <is>
          <t>Roof Defects</t>
        </is>
      </c>
      <c r="N1" s="84" t="inlineStr">
        <is>
          <t>Foundation Rating (F)</t>
        </is>
      </c>
      <c r="O1" s="84" t="inlineStr">
        <is>
          <t>Column Functionality Rating (FC)</t>
        </is>
      </c>
      <c r="P1" s="84" t="inlineStr">
        <is>
          <t>Column Appearance (A)</t>
        </is>
      </c>
      <c r="Q1" s="84" t="inlineStr">
        <is>
          <t>Roof Defects ( R )</t>
        </is>
      </c>
      <c r="R1" s="87" t="inlineStr">
        <is>
          <t>ACI = 0.4*F + 0.3*(FC + A) + 0.3*R</t>
        </is>
      </c>
      <c r="S1" s="87" t="inlineStr">
        <is>
          <t>ACI Rating</t>
        </is>
      </c>
    </row>
    <row r="2" customFormat="1" s="15">
      <c r="J2" s="17" t="inlineStr">
        <is>
          <t>No Defect Found</t>
        </is>
      </c>
      <c r="K2" s="17" t="inlineStr">
        <is>
          <t>No Defect Found</t>
        </is>
      </c>
      <c r="L2" s="17" t="inlineStr">
        <is>
          <t>No Defect Found</t>
        </is>
      </c>
      <c r="M2" s="17" t="inlineStr">
        <is>
          <t>No Defect Found</t>
        </is>
      </c>
      <c r="N2" s="3" t="n">
        <v>100</v>
      </c>
      <c r="O2" s="3" t="n">
        <v>70</v>
      </c>
      <c r="P2" s="3" t="n">
        <v>30</v>
      </c>
      <c r="Q2" s="3" t="n">
        <v>100</v>
      </c>
      <c r="R2" s="8">
        <f>0.4*N2+0.3*(O2+P2)+0.3*Q2</f>
        <v/>
      </c>
      <c r="S2" s="8" t="inlineStr">
        <is>
          <t>GOOD</t>
        </is>
      </c>
    </row>
    <row r="3" ht="30" customHeight="1">
      <c r="A3" s="87" t="inlineStr">
        <is>
          <t>Select Appropriate Foundation Defects</t>
        </is>
      </c>
      <c r="B3" s="87" t="inlineStr">
        <is>
          <t>Select Appropriate Column Defects</t>
        </is>
      </c>
      <c r="C3" s="98" t="n"/>
      <c r="D3" s="87" t="inlineStr">
        <is>
          <t>Select Appropriate Roof Defects</t>
        </is>
      </c>
      <c r="F3" s="39" t="inlineStr">
        <is>
          <t>F</t>
        </is>
      </c>
      <c r="G3" s="39" t="inlineStr">
        <is>
          <t>F</t>
        </is>
      </c>
      <c r="H3" s="39" t="inlineStr">
        <is>
          <t>A</t>
        </is>
      </c>
      <c r="I3" s="39" t="inlineStr">
        <is>
          <t>R</t>
        </is>
      </c>
      <c r="J3" s="28" t="inlineStr">
        <is>
          <t xml:space="preserve">Concrete has minor deterioration 5% and/or rusting 5% and/or lose bolts 5% </t>
        </is>
      </c>
      <c r="K3" s="28" t="inlineStr">
        <is>
          <t xml:space="preserve">Column Misaligned Minor 1% and or any other minor deterioration 1% </t>
        </is>
      </c>
      <c r="L3" s="28" t="inlineStr">
        <is>
          <t xml:space="preserve">Minor Paint faded or Peeled off 1% </t>
        </is>
      </c>
      <c r="M3" s="28" t="inlineStr">
        <is>
          <t>Roof has deterioration and or corrosion 1%</t>
        </is>
      </c>
      <c r="N3" s="3" t="n">
        <v>90</v>
      </c>
      <c r="O3" s="3" t="n">
        <v>63</v>
      </c>
      <c r="P3" s="3" t="n">
        <v>27</v>
      </c>
      <c r="Q3" s="3" t="n">
        <v>90</v>
      </c>
      <c r="R3" s="8">
        <f>0.4*N3+0.3*(O3+P3)+0.3*Q3</f>
        <v/>
      </c>
      <c r="S3" s="8" t="inlineStr">
        <is>
          <t>GOOD</t>
        </is>
      </c>
    </row>
    <row r="4" ht="30" customHeight="1">
      <c r="A4" s="99" t="n"/>
      <c r="B4" s="87" t="inlineStr">
        <is>
          <t>Select Appropriate Functionality Defects</t>
        </is>
      </c>
      <c r="C4" s="87" t="inlineStr">
        <is>
          <t>Select Appropriate Appearance Defects</t>
        </is>
      </c>
      <c r="D4" s="99" t="n"/>
      <c r="F4" s="7">
        <f>VLOOKUP(A5, J2:N12, 5,FALSE)</f>
        <v/>
      </c>
      <c r="G4" s="7">
        <f>VLOOKUP(B5, K2:O12, 5,FALSE)</f>
        <v/>
      </c>
      <c r="H4" s="7">
        <f>VLOOKUP(C5, L2:P12, 5,FALSE)</f>
        <v/>
      </c>
      <c r="I4" s="7">
        <f>VLOOKUP(D5, M2:Q12, 5,FALSE)</f>
        <v/>
      </c>
      <c r="J4" s="28" t="inlineStr">
        <is>
          <t xml:space="preserve">Concrete has minor deterioration 10% and/or rusting 10% and/or lose bolts 10% </t>
        </is>
      </c>
      <c r="K4" s="28" t="inlineStr">
        <is>
          <t xml:space="preserve">Column Misaligned Minor 2% and or any other minor deterioration 2% </t>
        </is>
      </c>
      <c r="L4" s="28" t="inlineStr">
        <is>
          <t xml:space="preserve">Minor Paint faded or Peeled off 2% </t>
        </is>
      </c>
      <c r="M4" s="28" t="inlineStr">
        <is>
          <t>Roof has deterioration and or corrosion 2%</t>
        </is>
      </c>
      <c r="N4" s="3" t="n">
        <v>80</v>
      </c>
      <c r="O4" s="3" t="n">
        <v>56</v>
      </c>
      <c r="P4" s="3" t="n">
        <v>24</v>
      </c>
      <c r="Q4" s="3" t="n">
        <v>80</v>
      </c>
      <c r="R4" s="8">
        <f>0.4*N4+0.3*(O4+P4)+0.3*Q4</f>
        <v/>
      </c>
      <c r="S4" s="8" t="inlineStr">
        <is>
          <t>GOOD</t>
        </is>
      </c>
    </row>
    <row r="5" ht="30" customHeight="1">
      <c r="A5" s="90" t="inlineStr">
        <is>
          <t>No Defect Found</t>
        </is>
      </c>
      <c r="B5" s="90" t="inlineStr">
        <is>
          <t>No Defect Found</t>
        </is>
      </c>
      <c r="C5" s="8" t="inlineStr">
        <is>
          <t>No Defect Found</t>
        </is>
      </c>
      <c r="D5" s="8" t="inlineStr">
        <is>
          <t>No Defect Found</t>
        </is>
      </c>
      <c r="J5" s="28" t="inlineStr">
        <is>
          <t xml:space="preserve">Concrete has minor deterioration 20% and/or rusting 20% and/or lose bolts 20% </t>
        </is>
      </c>
      <c r="K5" s="28" t="inlineStr">
        <is>
          <t xml:space="preserve">Column Misaligned 5% and or any other deterioration 5% </t>
        </is>
      </c>
      <c r="L5" s="28" t="inlineStr">
        <is>
          <t xml:space="preserve">Paint faded or Peeled off 5% </t>
        </is>
      </c>
      <c r="M5" s="28" t="inlineStr">
        <is>
          <t>Roof has deterioration and or corrosion 5%</t>
        </is>
      </c>
      <c r="N5" s="3" t="n">
        <v>70</v>
      </c>
      <c r="O5" s="3" t="n">
        <v>49</v>
      </c>
      <c r="P5" s="3" t="n">
        <v>21</v>
      </c>
      <c r="Q5" s="3" t="n">
        <v>70</v>
      </c>
      <c r="R5" s="8">
        <f>0.4*N5+0.3*(O5+P5)+0.3*Q5</f>
        <v/>
      </c>
      <c r="S5" s="8" t="inlineStr">
        <is>
          <t>FAIR</t>
        </is>
      </c>
    </row>
    <row r="6" ht="30" customHeight="1">
      <c r="J6" s="28" t="inlineStr">
        <is>
          <t xml:space="preserve">Concrete has deterioration 25% and/or rusting 25% and/or lose bolts 25% </t>
        </is>
      </c>
      <c r="K6" s="28" t="inlineStr">
        <is>
          <t xml:space="preserve">Column Misaligned 7% and or any other deterioration 7% </t>
        </is>
      </c>
      <c r="L6" s="28" t="inlineStr">
        <is>
          <t>Paint faded or Peeled off 10% with rusting</t>
        </is>
      </c>
      <c r="M6" s="28" t="inlineStr">
        <is>
          <t>Roof has deterioration and or corrosion 10%</t>
        </is>
      </c>
      <c r="N6" s="3" t="n">
        <v>60</v>
      </c>
      <c r="O6" s="3" t="n">
        <v>42</v>
      </c>
      <c r="P6" s="3" t="n">
        <v>18</v>
      </c>
      <c r="Q6" s="3" t="n">
        <v>60</v>
      </c>
      <c r="R6" s="8">
        <f>0.4*N6+0.3*(O6+P6)+0.3*Q6</f>
        <v/>
      </c>
      <c r="S6" s="8" t="inlineStr">
        <is>
          <t>FAIR</t>
        </is>
      </c>
    </row>
    <row r="7" ht="30" customHeight="1">
      <c r="A7" s="65" t="inlineStr">
        <is>
          <t>(ACI-PT) Value</t>
        </is>
      </c>
      <c r="B7" s="65">
        <f>IF(OR(F4=0, G4=0, I4=0), 0, ROUND(0.4*F4 + 0.3*(G4+H4) + 0.3*I4, 0))</f>
        <v/>
      </c>
      <c r="J7" s="28" t="inlineStr">
        <is>
          <t xml:space="preserve">Concrete has deterioration 30% and/or rusting 30% and/or lose bolts 30% </t>
        </is>
      </c>
      <c r="K7" s="28" t="inlineStr">
        <is>
          <t xml:space="preserve">Column Misaligned 10% and or any other deterioration 10% </t>
        </is>
      </c>
      <c r="L7" s="28" t="inlineStr">
        <is>
          <t>Paint faded or Peeled off 15% with rusting</t>
        </is>
      </c>
      <c r="M7" s="28" t="inlineStr">
        <is>
          <t>Roof has deterioration and or corrosion 15%</t>
        </is>
      </c>
      <c r="N7" s="3" t="n">
        <v>50</v>
      </c>
      <c r="O7" s="3" t="n">
        <v>35</v>
      </c>
      <c r="P7" s="3" t="n">
        <v>15</v>
      </c>
      <c r="Q7" s="3" t="n">
        <v>50</v>
      </c>
      <c r="R7" s="8">
        <f>0.4*N7+0.3*(O7+P7)+0.3*Q7</f>
        <v/>
      </c>
      <c r="S7" s="8" t="inlineStr">
        <is>
          <t>FAIR</t>
        </is>
      </c>
    </row>
    <row r="8" ht="30" customHeight="1">
      <c r="A8" s="65" t="inlineStr">
        <is>
          <t>(ACI-PT) Condition</t>
        </is>
      </c>
      <c r="B8" s="65">
        <f>IF(AND(B7&gt;=80, B7&lt;=100), "GOOD", IF(AND(B7&gt;40, B7&lt;80), "FAIR", "POOR"))</f>
        <v/>
      </c>
      <c r="J8" s="28" t="inlineStr">
        <is>
          <t xml:space="preserve">Concrete has deterioration 40% and/or rusting 40% and/or lose bolts 40% </t>
        </is>
      </c>
      <c r="K8" s="28" t="inlineStr">
        <is>
          <t xml:space="preserve">Column Misaligned 20% and or any other deterioration 20% </t>
        </is>
      </c>
      <c r="L8" s="28" t="inlineStr">
        <is>
          <t>Paint faded or Peeled off 20%  with rusting</t>
        </is>
      </c>
      <c r="M8" s="28" t="inlineStr">
        <is>
          <t>Roof has deterioration and or corrosion 20%</t>
        </is>
      </c>
      <c r="N8" s="3" t="n">
        <v>40</v>
      </c>
      <c r="O8" s="3" t="n">
        <v>28</v>
      </c>
      <c r="P8" s="3" t="n">
        <v>12</v>
      </c>
      <c r="Q8" s="3" t="n">
        <v>40</v>
      </c>
      <c r="R8" s="8">
        <f>0.4*N8+0.3*(O8+P8)+0.3*Q8</f>
        <v/>
      </c>
      <c r="S8" s="8" t="inlineStr">
        <is>
          <t>POOR</t>
        </is>
      </c>
    </row>
    <row r="9" ht="30" customHeight="1">
      <c r="J9" s="28" t="inlineStr">
        <is>
          <t xml:space="preserve">Concrete has deterioration 45% and/or rusting 45% and/or lose bolts 45% </t>
        </is>
      </c>
      <c r="K9" s="28" t="inlineStr">
        <is>
          <t xml:space="preserve">Column Misaligned 25% and or any other deterioration 25% </t>
        </is>
      </c>
      <c r="L9" s="28" t="inlineStr">
        <is>
          <t>Paint faded or Peeled off 25% with rusting</t>
        </is>
      </c>
      <c r="M9" s="28" t="inlineStr">
        <is>
          <t>Roof has deterioration and or corrosion 25%</t>
        </is>
      </c>
      <c r="N9" s="3" t="n">
        <v>30</v>
      </c>
      <c r="O9" s="3" t="n">
        <v>21</v>
      </c>
      <c r="P9" s="3" t="n">
        <v>9</v>
      </c>
      <c r="Q9" s="3" t="n">
        <v>30</v>
      </c>
      <c r="R9" s="8">
        <f>0.4*N9+0.3*(O9+P9)+0.3*Q9</f>
        <v/>
      </c>
      <c r="S9" s="8" t="inlineStr">
        <is>
          <t>POOR</t>
        </is>
      </c>
    </row>
    <row r="10" ht="30" customHeight="1">
      <c r="J10" s="28" t="inlineStr">
        <is>
          <t xml:space="preserve">Concrete has deterioration 50% and/or rusting 50% and/or lose bolts 50% </t>
        </is>
      </c>
      <c r="K10" s="28" t="inlineStr">
        <is>
          <t xml:space="preserve">Column Misaligned 30% and or any other deterioration 30% </t>
        </is>
      </c>
      <c r="L10" s="28" t="inlineStr">
        <is>
          <t>Paint faded or Peeled off 30% with rusting</t>
        </is>
      </c>
      <c r="M10" s="28" t="inlineStr">
        <is>
          <t>Roof has deterioration and or corrosion 30%</t>
        </is>
      </c>
      <c r="N10" s="3" t="n">
        <v>20</v>
      </c>
      <c r="O10" s="3" t="n">
        <v>14</v>
      </c>
      <c r="P10" s="3" t="n">
        <v>6</v>
      </c>
      <c r="Q10" s="3" t="n">
        <v>20</v>
      </c>
      <c r="R10" s="8">
        <f>0.4*N10+0.3*(O10+P10)+0.3*Q10</f>
        <v/>
      </c>
      <c r="S10" s="8" t="inlineStr">
        <is>
          <t>POOR</t>
        </is>
      </c>
    </row>
    <row r="11" ht="30" customHeight="1">
      <c r="J11" s="28" t="inlineStr">
        <is>
          <t xml:space="preserve">Concrete has deterioration 55% and/or rusting 55% and/or lose bolts 55% </t>
        </is>
      </c>
      <c r="K11" s="28" t="inlineStr">
        <is>
          <t>Column Misaligned 35% and or any other deterioration 35%</t>
        </is>
      </c>
      <c r="L11" s="28" t="inlineStr">
        <is>
          <t>Paint faded or Peeled off 35% with rusting</t>
        </is>
      </c>
      <c r="M11" s="28" t="inlineStr">
        <is>
          <t>Roof has deterioration and or corrosion 35%</t>
        </is>
      </c>
      <c r="N11" s="3" t="n">
        <v>10</v>
      </c>
      <c r="O11" s="3" t="n">
        <v>7</v>
      </c>
      <c r="P11" s="3" t="n">
        <v>3</v>
      </c>
      <c r="Q11" s="3" t="n">
        <v>10</v>
      </c>
      <c r="R11" s="8">
        <f>0.4*N11+0.3*(O11+P11)+0.3*Q11</f>
        <v/>
      </c>
      <c r="S11" s="8" t="inlineStr">
        <is>
          <t>POOR</t>
        </is>
      </c>
    </row>
    <row r="12" ht="45" customHeight="1">
      <c r="J12" s="28" t="inlineStr">
        <is>
          <t xml:space="preserve">Concrete has deterioration more than 60% and/or rusting more than 60% and/or lose or missing bolts  more than 60% </t>
        </is>
      </c>
      <c r="K12" s="28" t="inlineStr">
        <is>
          <t>Column Misaligned or damaged completely</t>
        </is>
      </c>
      <c r="L12" s="28" t="inlineStr">
        <is>
          <t>Paint faded or Peeled off more than 40% with rusting</t>
        </is>
      </c>
      <c r="M12" s="28" t="inlineStr">
        <is>
          <t>Roof has deterioration and or corrosion 40%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8">
        <f>0.4*N12+0.3*(O12+P12)+0.3*Q12</f>
        <v/>
      </c>
      <c r="S12" s="8" t="inlineStr">
        <is>
          <t>POOR</t>
        </is>
      </c>
    </row>
  </sheetData>
  <autoFilter ref="J1:S1">
    <sortState ref="J2:S12">
      <sortCondition descending="1" ref="R1"/>
    </sortState>
  </autoFilter>
  <mergeCells count="4">
    <mergeCell ref="A1:D1"/>
    <mergeCell ref="D3:D4"/>
    <mergeCell ref="A3:A4"/>
    <mergeCell ref="B3:C3"/>
  </mergeCells>
  <dataValidations disablePrompts="1" count="4">
    <dataValidation sqref="B5" showDropDown="0" showInputMessage="1" showErrorMessage="1" allowBlank="1" type="list">
      <formula1>$K$2:$K$12</formula1>
    </dataValidation>
    <dataValidation sqref="C5" showDropDown="0" showInputMessage="1" showErrorMessage="1" allowBlank="1" type="list">
      <formula1>$L$2:$L$12</formula1>
    </dataValidation>
    <dataValidation sqref="D5" showDropDown="0" showInputMessage="1" showErrorMessage="1" allowBlank="1" type="list">
      <formula1>$M$2:$M$12</formula1>
    </dataValidation>
    <dataValidation sqref="A5" showDropDown="0" showInputMessage="1" showErrorMessage="1" allowBlank="1" type="list">
      <formula1>$J$2:$J$12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B1" sqref="B1"/>
    </sheetView>
  </sheetViews>
  <sheetFormatPr baseColWidth="8" defaultRowHeight="15"/>
  <cols>
    <col width="85.7109375" customWidth="1" min="1" max="1"/>
    <col width="19.7109375" bestFit="1" customWidth="1" min="2" max="2"/>
    <col width="7" bestFit="1" customWidth="1" min="3" max="3"/>
    <col width="10.28515625" bestFit="1" customWidth="1" min="4" max="4"/>
  </cols>
  <sheetData>
    <row r="1">
      <c r="A1" s="87" t="inlineStr">
        <is>
          <t>Functional Defects</t>
        </is>
      </c>
      <c r="B1" s="87" t="inlineStr">
        <is>
          <t>Functional Rating (F)</t>
        </is>
      </c>
      <c r="C1" s="87" t="inlineStr">
        <is>
          <t>ACI = F</t>
        </is>
      </c>
      <c r="D1" s="87" t="inlineStr">
        <is>
          <t>ACI Rating</t>
        </is>
      </c>
    </row>
    <row r="2" ht="45" customHeight="1">
      <c r="A2" s="28" t="inlineStr">
        <is>
          <t>Corrosion and/or misalignment and or physical damages 60% and or concrete foundation and bolts damages 60% and or camera lenses blurred/cracked/damaged and or camera completely damaged</t>
        </is>
      </c>
      <c r="B2" s="8" t="n">
        <v>0</v>
      </c>
      <c r="C2" s="8">
        <f>B2</f>
        <v/>
      </c>
      <c r="D2" s="8" t="inlineStr">
        <is>
          <t>POOR</t>
        </is>
      </c>
    </row>
    <row r="3" ht="30" customHeight="1">
      <c r="A3" s="28" t="inlineStr">
        <is>
          <t>Corrosion and/or misalignment and or physical damages 55% and or concrete foundation and bolts damages 55% and or camera lenses blurred/cracked/damaged</t>
        </is>
      </c>
      <c r="B3" s="8" t="n">
        <v>10</v>
      </c>
      <c r="C3" s="8">
        <f>B3</f>
        <v/>
      </c>
      <c r="D3" s="8" t="inlineStr">
        <is>
          <t>POOR</t>
        </is>
      </c>
    </row>
    <row r="4" ht="30" customHeight="1">
      <c r="A4" s="28" t="inlineStr">
        <is>
          <t>Corrosion and/or misalignment and or physical damages 50% and or concrete foundation and bolts damages 50% and or camera lenses blurred/cracked/damaged</t>
        </is>
      </c>
      <c r="B4" s="8" t="n">
        <v>20</v>
      </c>
      <c r="C4" s="8">
        <f>B4</f>
        <v/>
      </c>
      <c r="D4" s="8" t="inlineStr">
        <is>
          <t>POOR</t>
        </is>
      </c>
    </row>
    <row r="5" ht="30" customHeight="1">
      <c r="A5" s="28" t="inlineStr">
        <is>
          <t>Corrosion and/or misalignment and or physical damages 45% and or concrete foundation and bolts damages 45% and or camera lenses blurred/cracked/damaged</t>
        </is>
      </c>
      <c r="B5" s="8" t="n">
        <v>30</v>
      </c>
      <c r="C5" s="8">
        <f>B5</f>
        <v/>
      </c>
      <c r="D5" s="8" t="inlineStr">
        <is>
          <t>POOR</t>
        </is>
      </c>
    </row>
    <row r="6" ht="30" customHeight="1">
      <c r="A6" s="28" t="inlineStr">
        <is>
          <t>Corrosion and/or misalignment and or physical damages 40% and or concrete foundation and bolts damages 40% and or camera lenses blurred/cracked/damaged</t>
        </is>
      </c>
      <c r="B6" s="8" t="n">
        <v>40</v>
      </c>
      <c r="C6" s="8">
        <f>B6</f>
        <v/>
      </c>
      <c r="D6" s="8" t="inlineStr">
        <is>
          <t>POOR</t>
        </is>
      </c>
    </row>
    <row r="7" ht="30" customHeight="1">
      <c r="A7" s="28" t="inlineStr">
        <is>
          <t>Deterioration of corrosion and/or misalignment 40% and or concrete foundation and bolts damages 40%</t>
        </is>
      </c>
      <c r="B7" s="8" t="n">
        <v>50</v>
      </c>
      <c r="C7" s="8">
        <f>B7</f>
        <v/>
      </c>
      <c r="D7" s="8" t="inlineStr">
        <is>
          <t>FAIR</t>
        </is>
      </c>
    </row>
    <row r="8" ht="30" customHeight="1">
      <c r="A8" s="28" t="inlineStr">
        <is>
          <t>Deterioration of corrosion and/or misalignment 40% and or concrete foundation and bolts damages 40%</t>
        </is>
      </c>
      <c r="B8" s="8" t="n">
        <v>60</v>
      </c>
      <c r="C8" s="8">
        <f>B8</f>
        <v/>
      </c>
      <c r="D8" s="8" t="inlineStr">
        <is>
          <t>FAIR</t>
        </is>
      </c>
    </row>
    <row r="9">
      <c r="A9" s="28" t="inlineStr">
        <is>
          <t>Minor deterioration of paint 5%</t>
        </is>
      </c>
      <c r="B9" s="8" t="n">
        <v>70</v>
      </c>
      <c r="C9" s="8">
        <f>B9</f>
        <v/>
      </c>
      <c r="D9" s="8" t="inlineStr">
        <is>
          <t>FAIR</t>
        </is>
      </c>
    </row>
    <row r="10">
      <c r="A10" s="28" t="inlineStr">
        <is>
          <t>Minor deterioration of paint 2%</t>
        </is>
      </c>
      <c r="B10" s="8" t="n">
        <v>80</v>
      </c>
      <c r="C10" s="8">
        <f>B10</f>
        <v/>
      </c>
      <c r="D10" s="8" t="inlineStr">
        <is>
          <t>GOOD</t>
        </is>
      </c>
    </row>
    <row r="11">
      <c r="A11" s="28" t="inlineStr">
        <is>
          <t>Very minor deterioration of paint 1%</t>
        </is>
      </c>
      <c r="B11" s="8" t="n">
        <v>90</v>
      </c>
      <c r="C11" s="8">
        <f>B11</f>
        <v/>
      </c>
      <c r="D11" s="8" t="inlineStr">
        <is>
          <t>GOOD</t>
        </is>
      </c>
    </row>
    <row r="12">
      <c r="A12" s="28" t="inlineStr">
        <is>
          <t>No Defect Found</t>
        </is>
      </c>
      <c r="B12" s="8" t="n">
        <v>100</v>
      </c>
      <c r="C12" s="8">
        <f>B12</f>
        <v/>
      </c>
      <c r="D12" s="8" t="inlineStr">
        <is>
          <t>GOOD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A1:H12"/>
  <sheetViews>
    <sheetView workbookViewId="0">
      <selection activeCell="A1" sqref="A1:D8"/>
    </sheetView>
  </sheetViews>
  <sheetFormatPr baseColWidth="8" defaultRowHeight="15"/>
  <cols>
    <col width="59.7109375" customWidth="1" min="1" max="1"/>
    <col width="33.85546875" customWidth="1" min="2" max="2"/>
    <col width="33.85546875" bestFit="1" customWidth="1" min="5" max="5"/>
    <col width="19.7109375" bestFit="1" customWidth="1" min="6" max="6"/>
    <col width="7" bestFit="1" customWidth="1" min="7" max="7"/>
    <col width="10.28515625" bestFit="1" customWidth="1" min="8" max="8"/>
  </cols>
  <sheetData>
    <row r="1" ht="24" customHeight="1">
      <c r="A1" s="78" t="inlineStr">
        <is>
          <t>Decorative Furniture Asset Condition Index Calculator (ACI-DF)</t>
        </is>
      </c>
      <c r="E1" s="87" t="inlineStr">
        <is>
          <t>Functional Defects</t>
        </is>
      </c>
      <c r="F1" s="87" t="inlineStr">
        <is>
          <t>Functional Rating (F)</t>
        </is>
      </c>
      <c r="G1" s="87" t="inlineStr">
        <is>
          <t>ACI = F</t>
        </is>
      </c>
      <c r="H1" s="87" t="inlineStr">
        <is>
          <t>ACI Rating</t>
        </is>
      </c>
    </row>
    <row r="2">
      <c r="E2" s="8" t="inlineStr">
        <is>
          <t>No Defect Found</t>
        </is>
      </c>
      <c r="F2" s="8" t="n">
        <v>100</v>
      </c>
      <c r="G2" s="8">
        <f>F2</f>
        <v/>
      </c>
      <c r="H2" s="8" t="inlineStr">
        <is>
          <t>GOOD</t>
        </is>
      </c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E3" s="8" t="inlineStr">
        <is>
          <t>Decorative furniture is damaged 5%</t>
        </is>
      </c>
      <c r="F3" s="8" t="n">
        <v>90</v>
      </c>
      <c r="G3" s="8">
        <f>F3</f>
        <v/>
      </c>
      <c r="H3" s="8" t="inlineStr">
        <is>
          <t>GOOD</t>
        </is>
      </c>
    </row>
    <row r="4">
      <c r="A4" s="90" t="inlineStr">
        <is>
          <t>No Defect Found</t>
        </is>
      </c>
      <c r="B4" s="42" t="n"/>
      <c r="D4" s="7">
        <f>VLOOKUP(A4, E2:G12, 3,FALSE)</f>
        <v/>
      </c>
      <c r="E4" s="8" t="inlineStr">
        <is>
          <t>Decorative furniture is damaged 10%</t>
        </is>
      </c>
      <c r="F4" s="8" t="n">
        <v>80</v>
      </c>
      <c r="G4" s="8">
        <f>F4</f>
        <v/>
      </c>
      <c r="H4" s="8" t="inlineStr">
        <is>
          <t>GOOD</t>
        </is>
      </c>
    </row>
    <row r="5">
      <c r="E5" s="8" t="inlineStr">
        <is>
          <t>Decorative furniture is damaged 15%</t>
        </is>
      </c>
      <c r="F5" s="8" t="n">
        <v>70</v>
      </c>
      <c r="G5" s="8">
        <f>F5</f>
        <v/>
      </c>
      <c r="H5" s="8" t="inlineStr">
        <is>
          <t>FAIR</t>
        </is>
      </c>
    </row>
    <row r="6">
      <c r="E6" s="8" t="inlineStr">
        <is>
          <t>Decorative furniture is damaged 20%</t>
        </is>
      </c>
      <c r="F6" s="8" t="n">
        <v>60</v>
      </c>
      <c r="G6" s="8">
        <f>F6</f>
        <v/>
      </c>
      <c r="H6" s="8" t="inlineStr">
        <is>
          <t>FAIR</t>
        </is>
      </c>
    </row>
    <row r="7">
      <c r="A7" s="44" t="inlineStr">
        <is>
          <t>(ACI-DF) Value</t>
        </is>
      </c>
      <c r="B7" s="44">
        <f>D4</f>
        <v/>
      </c>
      <c r="E7" s="8" t="inlineStr">
        <is>
          <t>Decorative furniture is damaged 25%</t>
        </is>
      </c>
      <c r="F7" s="8" t="n">
        <v>50</v>
      </c>
      <c r="G7" s="8">
        <f>F7</f>
        <v/>
      </c>
      <c r="H7" s="8" t="inlineStr">
        <is>
          <t>FAIR</t>
        </is>
      </c>
    </row>
    <row r="8">
      <c r="A8" s="44" t="inlineStr">
        <is>
          <t>(ACI-DF) Condition</t>
        </is>
      </c>
      <c r="B8" s="44">
        <f>IF(AND(B7&gt;=80, B7&lt;=100), "GOOD", IF(AND(B7&gt;40, B7&lt;80), "FAIR", "POOR"))</f>
        <v/>
      </c>
      <c r="E8" s="8" t="inlineStr">
        <is>
          <t>Decorative furniture is damaged 30%</t>
        </is>
      </c>
      <c r="F8" s="8" t="n">
        <v>40</v>
      </c>
      <c r="G8" s="8">
        <f>F8</f>
        <v/>
      </c>
      <c r="H8" s="8" t="inlineStr">
        <is>
          <t>POOR</t>
        </is>
      </c>
    </row>
    <row r="9">
      <c r="E9" s="8" t="inlineStr">
        <is>
          <t>Decorative furniture is damaged 35%</t>
        </is>
      </c>
      <c r="F9" s="8" t="n">
        <v>30</v>
      </c>
      <c r="G9" s="8">
        <f>F9</f>
        <v/>
      </c>
      <c r="H9" s="8" t="inlineStr">
        <is>
          <t>POOR</t>
        </is>
      </c>
    </row>
    <row r="10">
      <c r="E10" s="8" t="inlineStr">
        <is>
          <t>Decorative furniture is damaged 40%</t>
        </is>
      </c>
      <c r="F10" s="8" t="n">
        <v>20</v>
      </c>
      <c r="G10" s="8">
        <f>F10</f>
        <v/>
      </c>
      <c r="H10" s="8" t="inlineStr">
        <is>
          <t>POOR</t>
        </is>
      </c>
    </row>
    <row r="11">
      <c r="E11" s="8" t="inlineStr">
        <is>
          <t>Decorative furniture is damaged 45%</t>
        </is>
      </c>
      <c r="F11" s="8" t="n">
        <v>10</v>
      </c>
      <c r="G11" s="8">
        <f>F11</f>
        <v/>
      </c>
      <c r="H11" s="8" t="inlineStr">
        <is>
          <t>POOR</t>
        </is>
      </c>
    </row>
    <row r="12">
      <c r="E12" s="8" t="inlineStr">
        <is>
          <t>Decorative furniture is damaged 50%</t>
        </is>
      </c>
      <c r="F12" s="8" t="n">
        <v>0</v>
      </c>
      <c r="G12" s="8">
        <f>F12</f>
        <v/>
      </c>
      <c r="H12" s="8" t="inlineStr">
        <is>
          <t>POOR</t>
        </is>
      </c>
    </row>
  </sheetData>
  <autoFilter ref="E1:H12"/>
  <mergeCells count="1">
    <mergeCell ref="A1:B1"/>
  </mergeCells>
  <dataValidations count="2">
    <dataValidation sqref="A5" showDropDown="0" showInputMessage="1" showErrorMessage="1" allowBlank="1" type="list">
      <formula1>$K$4:$K$12</formula1>
    </dataValidation>
    <dataValidation sqref="A4" showDropDown="0" showInputMessage="1" showErrorMessage="1" allowBlank="1" type="list">
      <formula1>$E$2:$E$12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A1:H12"/>
  <sheetViews>
    <sheetView workbookViewId="0">
      <selection activeCell="A1" sqref="A1:D8"/>
    </sheetView>
  </sheetViews>
  <sheetFormatPr baseColWidth="8" defaultRowHeight="15"/>
  <cols>
    <col width="36" bestFit="1" customWidth="1" min="1" max="1"/>
    <col width="56.5703125" customWidth="1" min="2" max="2"/>
    <col width="35.5703125" bestFit="1" customWidth="1" min="5" max="5"/>
    <col width="19.7109375" bestFit="1" customWidth="1" min="6" max="6"/>
    <col width="7" bestFit="1" customWidth="1" min="7" max="7"/>
    <col width="10.28515625" bestFit="1" customWidth="1" min="8" max="8"/>
  </cols>
  <sheetData>
    <row r="1" ht="24" customFormat="1" customHeight="1" s="15">
      <c r="A1" s="78" t="inlineStr">
        <is>
          <t>Landscape Asset Condition Index Calculator (ACI-LS)</t>
        </is>
      </c>
      <c r="E1" s="87" t="inlineStr">
        <is>
          <t>Functional Defects</t>
        </is>
      </c>
      <c r="F1" s="87" t="inlineStr">
        <is>
          <t>Functional Rating (F)</t>
        </is>
      </c>
      <c r="G1" s="87" t="inlineStr">
        <is>
          <t>ACI = F</t>
        </is>
      </c>
      <c r="H1" s="87" t="inlineStr">
        <is>
          <t>ACI Rating</t>
        </is>
      </c>
    </row>
    <row r="2" customFormat="1" s="15">
      <c r="E2" s="8" t="inlineStr">
        <is>
          <t>No Defect Found</t>
        </is>
      </c>
      <c r="F2" s="8" t="n">
        <v>100</v>
      </c>
      <c r="G2" s="8">
        <f>F2</f>
        <v/>
      </c>
      <c r="H2" s="8" t="inlineStr">
        <is>
          <t>GOOD</t>
        </is>
      </c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E3" s="8" t="inlineStr">
        <is>
          <t>Landscape is damaged 1%</t>
        </is>
      </c>
      <c r="F3" s="8" t="n">
        <v>90</v>
      </c>
      <c r="G3" s="8">
        <f>F3</f>
        <v/>
      </c>
      <c r="H3" s="8" t="inlineStr">
        <is>
          <t>GOOD</t>
        </is>
      </c>
    </row>
    <row r="4">
      <c r="A4" s="90" t="inlineStr">
        <is>
          <t>No Defect Found</t>
        </is>
      </c>
      <c r="B4" s="42" t="n"/>
      <c r="D4" s="7">
        <f>VLOOKUP(A4,E2:G12, 3,FALSE)</f>
        <v/>
      </c>
      <c r="E4" s="8" t="inlineStr">
        <is>
          <t>Landscape is damaged 5%</t>
        </is>
      </c>
      <c r="F4" s="8" t="n">
        <v>80</v>
      </c>
      <c r="G4" s="8">
        <f>F4</f>
        <v/>
      </c>
      <c r="H4" s="8" t="inlineStr">
        <is>
          <t>GOOD</t>
        </is>
      </c>
    </row>
    <row r="5">
      <c r="E5" s="8" t="inlineStr">
        <is>
          <t>Landscape is damaged 10%</t>
        </is>
      </c>
      <c r="F5" s="8" t="n">
        <v>70</v>
      </c>
      <c r="G5" s="8">
        <f>F5</f>
        <v/>
      </c>
      <c r="H5" s="8" t="inlineStr">
        <is>
          <t>FAIR</t>
        </is>
      </c>
    </row>
    <row r="6">
      <c r="E6" s="8" t="inlineStr">
        <is>
          <t>Landscape is damaged 15%</t>
        </is>
      </c>
      <c r="F6" s="8" t="n">
        <v>60</v>
      </c>
      <c r="G6" s="8">
        <f>F6</f>
        <v/>
      </c>
      <c r="H6" s="8" t="inlineStr">
        <is>
          <t>FAIR</t>
        </is>
      </c>
    </row>
    <row r="7">
      <c r="A7" s="44" t="inlineStr">
        <is>
          <t>(ACI-LS) Value</t>
        </is>
      </c>
      <c r="B7" s="44">
        <f>D4</f>
        <v/>
      </c>
      <c r="E7" s="8" t="inlineStr">
        <is>
          <t>Landscape is damaged 20%</t>
        </is>
      </c>
      <c r="F7" s="8" t="n">
        <v>50</v>
      </c>
      <c r="G7" s="8">
        <f>F7</f>
        <v/>
      </c>
      <c r="H7" s="8" t="inlineStr">
        <is>
          <t>FAIR</t>
        </is>
      </c>
    </row>
    <row r="8">
      <c r="A8" s="44" t="inlineStr">
        <is>
          <t>(ACI-LS) Condition</t>
        </is>
      </c>
      <c r="B8" s="44">
        <f>IF(AND(B7&gt;=80, B7&lt;=100), "GOOD", IF(AND(B7&gt;40, B7&lt;80), "FAIR", "POOR"))</f>
        <v/>
      </c>
      <c r="E8" s="8" t="inlineStr">
        <is>
          <t>Landscape is damaged 25%</t>
        </is>
      </c>
      <c r="F8" s="8" t="n">
        <v>40</v>
      </c>
      <c r="G8" s="8">
        <f>F8</f>
        <v/>
      </c>
      <c r="H8" s="8" t="inlineStr">
        <is>
          <t>POOR</t>
        </is>
      </c>
    </row>
    <row r="9">
      <c r="E9" s="8" t="inlineStr">
        <is>
          <t>Landscape is damaged 30%</t>
        </is>
      </c>
      <c r="F9" s="8" t="n">
        <v>30</v>
      </c>
      <c r="G9" s="8">
        <f>F9</f>
        <v/>
      </c>
      <c r="H9" s="8" t="inlineStr">
        <is>
          <t>POOR</t>
        </is>
      </c>
    </row>
    <row r="10">
      <c r="E10" s="8" t="inlineStr">
        <is>
          <t>Landscape is damaged 35%</t>
        </is>
      </c>
      <c r="F10" s="8" t="n">
        <v>20</v>
      </c>
      <c r="G10" s="8">
        <f>F10</f>
        <v/>
      </c>
      <c r="H10" s="8" t="inlineStr">
        <is>
          <t>POOR</t>
        </is>
      </c>
    </row>
    <row r="11">
      <c r="E11" s="8" t="inlineStr">
        <is>
          <t>Landscape is damaged 40%</t>
        </is>
      </c>
      <c r="F11" s="8" t="n">
        <v>10</v>
      </c>
      <c r="G11" s="8">
        <f>F11</f>
        <v/>
      </c>
      <c r="H11" s="8" t="inlineStr">
        <is>
          <t>POOR</t>
        </is>
      </c>
    </row>
    <row r="12">
      <c r="E12" s="8" t="inlineStr">
        <is>
          <t>Landscape is damaged more than 40%</t>
        </is>
      </c>
      <c r="F12" s="8" t="n">
        <v>0</v>
      </c>
      <c r="G12" s="8">
        <f>F12</f>
        <v/>
      </c>
      <c r="H12" s="8" t="inlineStr">
        <is>
          <t>POOR</t>
        </is>
      </c>
    </row>
  </sheetData>
  <autoFilter ref="E1:H12"/>
  <mergeCells count="1">
    <mergeCell ref="A1:B1"/>
  </mergeCells>
  <dataValidations count="2">
    <dataValidation sqref="A5" showDropDown="0" showInputMessage="1" showErrorMessage="1" allowBlank="1" type="list">
      <formula1>$G$4:$G$12</formula1>
    </dataValidation>
    <dataValidation sqref="A4" showDropDown="0" showInputMessage="1" showErrorMessage="1" allowBlank="1" type="list">
      <formula1>$E$2:$E$12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95" zoomScaleNormal="95" workbookViewId="0">
      <selection activeCell="B1" sqref="B1"/>
    </sheetView>
  </sheetViews>
  <sheetFormatPr baseColWidth="8" defaultRowHeight="15"/>
  <cols>
    <col width="82" bestFit="1" customWidth="1" min="1" max="1"/>
    <col width="19.7109375" bestFit="1" customWidth="1" min="2" max="2"/>
    <col width="7" bestFit="1" customWidth="1" min="3" max="3"/>
    <col width="10.28515625" bestFit="1" customWidth="1" min="4" max="4"/>
  </cols>
  <sheetData>
    <row r="1" customFormat="1" s="15">
      <c r="A1" s="87" t="inlineStr">
        <is>
          <t>Functional Defects</t>
        </is>
      </c>
      <c r="B1" s="87" t="inlineStr">
        <is>
          <t>Functional Rating (F)</t>
        </is>
      </c>
      <c r="C1" s="87" t="inlineStr">
        <is>
          <t>ACI = F</t>
        </is>
      </c>
      <c r="D1" s="87" t="inlineStr">
        <is>
          <t>ACI Rating</t>
        </is>
      </c>
    </row>
    <row r="2" customFormat="1" s="15">
      <c r="A2" s="2" t="inlineStr">
        <is>
          <t>Pavement surface has minor deterioration such as cracks, weathering, damaged tiles 50%</t>
        </is>
      </c>
      <c r="B2" s="8" t="n">
        <v>0</v>
      </c>
      <c r="C2" s="8">
        <f>B2</f>
        <v/>
      </c>
      <c r="D2" s="8" t="inlineStr">
        <is>
          <t>POOR</t>
        </is>
      </c>
    </row>
    <row r="3">
      <c r="A3" s="2" t="inlineStr">
        <is>
          <t>Pavement surface has minor deterioration such as cracks, weathering, damaged tiles 45%</t>
        </is>
      </c>
      <c r="B3" s="8" t="n">
        <v>10</v>
      </c>
      <c r="C3" s="8">
        <f>B3</f>
        <v/>
      </c>
      <c r="D3" s="8" t="inlineStr">
        <is>
          <t>POOR</t>
        </is>
      </c>
    </row>
    <row r="4">
      <c r="A4" s="2" t="inlineStr">
        <is>
          <t>Pavement surface has minor deterioration such as cracks, weathering, damaged tiles 40%</t>
        </is>
      </c>
      <c r="B4" s="8" t="n">
        <v>20</v>
      </c>
      <c r="C4" s="8">
        <f>B4</f>
        <v/>
      </c>
      <c r="D4" s="8" t="inlineStr">
        <is>
          <t>POOR</t>
        </is>
      </c>
    </row>
    <row r="5">
      <c r="A5" s="2" t="inlineStr">
        <is>
          <t>Pavement surface has minor deterioration such as cracks, weathering, damaged tiles 35%</t>
        </is>
      </c>
      <c r="B5" s="8" t="n">
        <v>30</v>
      </c>
      <c r="C5" s="8">
        <f>B5</f>
        <v/>
      </c>
      <c r="D5" s="8" t="inlineStr">
        <is>
          <t>POOR</t>
        </is>
      </c>
    </row>
    <row r="6">
      <c r="A6" s="2" t="inlineStr">
        <is>
          <t>Pavement surface has minor deterioration such as cracks, weathering, damaged tiles 30%</t>
        </is>
      </c>
      <c r="B6" s="8" t="n">
        <v>40</v>
      </c>
      <c r="C6" s="8">
        <f>B6</f>
        <v/>
      </c>
      <c r="D6" s="8" t="inlineStr">
        <is>
          <t>POOR</t>
        </is>
      </c>
    </row>
    <row r="7">
      <c r="A7" s="2" t="inlineStr">
        <is>
          <t>Pavement surface has minor deterioration such as cracks, weathering, damaged tiles 25%</t>
        </is>
      </c>
      <c r="B7" s="8" t="n">
        <v>50</v>
      </c>
      <c r="C7" s="8">
        <f>B7</f>
        <v/>
      </c>
      <c r="D7" s="8" t="inlineStr">
        <is>
          <t>FAIR</t>
        </is>
      </c>
    </row>
    <row r="8">
      <c r="A8" s="2" t="inlineStr">
        <is>
          <t>Pavement surface has minor deterioration such as cracks, weathering, damaged tiles 20%</t>
        </is>
      </c>
      <c r="B8" s="8" t="n">
        <v>60</v>
      </c>
      <c r="C8" s="8">
        <f>B8</f>
        <v/>
      </c>
      <c r="D8" s="8" t="inlineStr">
        <is>
          <t>FAIR</t>
        </is>
      </c>
    </row>
    <row r="9">
      <c r="A9" s="2" t="inlineStr">
        <is>
          <t>Pavement surface has minor deterioration such as cracks, weathering, damaged tiles 15%</t>
        </is>
      </c>
      <c r="B9" s="8" t="n">
        <v>70</v>
      </c>
      <c r="C9" s="8">
        <f>B9</f>
        <v/>
      </c>
      <c r="D9" s="8" t="inlineStr">
        <is>
          <t>FAIR</t>
        </is>
      </c>
    </row>
    <row r="10">
      <c r="A10" s="2" t="inlineStr">
        <is>
          <t>Pavement surface has minor deterioration such as cracks, weathering, damaged tiles 10%</t>
        </is>
      </c>
      <c r="B10" s="8" t="n">
        <v>80</v>
      </c>
      <c r="C10" s="8">
        <f>B10</f>
        <v/>
      </c>
      <c r="D10" s="8" t="inlineStr">
        <is>
          <t>GOOD</t>
        </is>
      </c>
    </row>
    <row r="11">
      <c r="A11" s="2" t="inlineStr">
        <is>
          <t>Pavement surface has minor deterioration such as cracks, weathering, damaged tiles 5%</t>
        </is>
      </c>
      <c r="B11" s="8" t="n">
        <v>90</v>
      </c>
      <c r="C11" s="8">
        <f>B11</f>
        <v/>
      </c>
      <c r="D11" s="8" t="inlineStr">
        <is>
          <t>GOOD</t>
        </is>
      </c>
    </row>
    <row r="12">
      <c r="A12" s="2" t="inlineStr">
        <is>
          <t>No Defect Found</t>
        </is>
      </c>
      <c r="B12" s="8" t="n">
        <v>100</v>
      </c>
      <c r="C12" s="8">
        <f>B12</f>
        <v/>
      </c>
      <c r="D12" s="8" t="inlineStr">
        <is>
          <t>GOOD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B1" sqref="B1"/>
    </sheetView>
  </sheetViews>
  <sheetFormatPr baseColWidth="8" defaultRowHeight="15"/>
  <cols>
    <col width="82" bestFit="1" customWidth="1" min="1" max="1"/>
    <col width="19.7109375" bestFit="1" customWidth="1" min="2" max="2"/>
    <col width="7" bestFit="1" customWidth="1" min="3" max="3"/>
    <col width="10.28515625" bestFit="1" customWidth="1" min="4" max="4"/>
  </cols>
  <sheetData>
    <row r="1" customFormat="1" s="15">
      <c r="A1" s="87" t="inlineStr">
        <is>
          <t>Functional Defects</t>
        </is>
      </c>
      <c r="B1" s="87" t="inlineStr">
        <is>
          <t>Functional Rating (F)</t>
        </is>
      </c>
      <c r="C1" s="87" t="inlineStr">
        <is>
          <t>ACI = F</t>
        </is>
      </c>
      <c r="D1" s="87" t="inlineStr">
        <is>
          <t>ACI Rating</t>
        </is>
      </c>
    </row>
    <row r="2" customFormat="1" s="15">
      <c r="A2" s="2" t="inlineStr">
        <is>
          <t>Pavement surface has minor deterioration such as cracks, weathering, damaged tiles 50%</t>
        </is>
      </c>
      <c r="B2" s="8" t="n">
        <v>0</v>
      </c>
      <c r="C2" s="8">
        <f>B2</f>
        <v/>
      </c>
      <c r="D2" s="8" t="inlineStr">
        <is>
          <t>POOR</t>
        </is>
      </c>
    </row>
    <row r="3" customFormat="1" s="15">
      <c r="A3" s="2" t="inlineStr">
        <is>
          <t>Pavement surface has minor deterioration such as cracks, weathering, damaged tiles 45%</t>
        </is>
      </c>
      <c r="B3" s="8" t="n">
        <v>10</v>
      </c>
      <c r="C3" s="8">
        <f>B3</f>
        <v/>
      </c>
      <c r="D3" s="8" t="inlineStr">
        <is>
          <t>POOR</t>
        </is>
      </c>
    </row>
    <row r="4" customFormat="1" s="15">
      <c r="A4" s="2" t="inlineStr">
        <is>
          <t>Pavement surface has minor deterioration such as cracks, weathering, damaged tiles 40%</t>
        </is>
      </c>
      <c r="B4" s="8" t="n">
        <v>20</v>
      </c>
      <c r="C4" s="8">
        <f>B4</f>
        <v/>
      </c>
      <c r="D4" s="8" t="inlineStr">
        <is>
          <t>POOR</t>
        </is>
      </c>
    </row>
    <row r="5" customFormat="1" s="15">
      <c r="A5" s="2" t="inlineStr">
        <is>
          <t>Pavement surface has minor deterioration such as cracks, weathering, damaged tiles 35%</t>
        </is>
      </c>
      <c r="B5" s="8" t="n">
        <v>30</v>
      </c>
      <c r="C5" s="8">
        <f>B5</f>
        <v/>
      </c>
      <c r="D5" s="8" t="inlineStr">
        <is>
          <t>POOR</t>
        </is>
      </c>
    </row>
    <row r="6" customFormat="1" s="15">
      <c r="A6" s="2" t="inlineStr">
        <is>
          <t>Pavement surface has minor deterioration such as cracks, weathering, damaged tiles 30%</t>
        </is>
      </c>
      <c r="B6" s="8" t="n">
        <v>40</v>
      </c>
      <c r="C6" s="8">
        <f>B6</f>
        <v/>
      </c>
      <c r="D6" s="8" t="inlineStr">
        <is>
          <t>POOR</t>
        </is>
      </c>
    </row>
    <row r="7" customFormat="1" s="15">
      <c r="A7" s="2" t="inlineStr">
        <is>
          <t>Pavement surface has minor deterioration such as cracks, weathering, damaged tiles 25%</t>
        </is>
      </c>
      <c r="B7" s="8" t="n">
        <v>50</v>
      </c>
      <c r="C7" s="8">
        <f>B7</f>
        <v/>
      </c>
      <c r="D7" s="8" t="inlineStr">
        <is>
          <t>FAIR</t>
        </is>
      </c>
    </row>
    <row r="8">
      <c r="A8" s="2" t="inlineStr">
        <is>
          <t>Pavement surface has minor deterioration such as cracks, weathering, damaged tiles 20%</t>
        </is>
      </c>
      <c r="B8" s="8" t="n">
        <v>60</v>
      </c>
      <c r="C8" s="8">
        <f>B8</f>
        <v/>
      </c>
      <c r="D8" s="8" t="inlineStr">
        <is>
          <t>FAIR</t>
        </is>
      </c>
    </row>
    <row r="9">
      <c r="A9" s="2" t="inlineStr">
        <is>
          <t>Pavement surface has minor deterioration such as cracks, weathering, damaged tiles 15%</t>
        </is>
      </c>
      <c r="B9" s="8" t="n">
        <v>70</v>
      </c>
      <c r="C9" s="8">
        <f>B9</f>
        <v/>
      </c>
      <c r="D9" s="8" t="inlineStr">
        <is>
          <t>FAIR</t>
        </is>
      </c>
    </row>
    <row r="10">
      <c r="A10" s="2" t="inlineStr">
        <is>
          <t>Pavement surface has minor deterioration such as cracks, weathering, damaged tiles 10%</t>
        </is>
      </c>
      <c r="B10" s="8" t="n">
        <v>80</v>
      </c>
      <c r="C10" s="8">
        <f>B10</f>
        <v/>
      </c>
      <c r="D10" s="8" t="inlineStr">
        <is>
          <t>GOOD</t>
        </is>
      </c>
    </row>
    <row r="11">
      <c r="A11" s="2" t="inlineStr">
        <is>
          <t>Pavement surface has minor deterioration such as cracks, weathering, damaged tiles 5%</t>
        </is>
      </c>
      <c r="B11" s="8" t="n">
        <v>90</v>
      </c>
      <c r="C11" s="8">
        <f>B11</f>
        <v/>
      </c>
      <c r="D11" s="8" t="inlineStr">
        <is>
          <t>GOOD</t>
        </is>
      </c>
    </row>
    <row r="12">
      <c r="A12" s="2" t="inlineStr">
        <is>
          <t>No Defect Found</t>
        </is>
      </c>
      <c r="B12" s="8" t="n">
        <v>100</v>
      </c>
      <c r="C12" s="8">
        <f>B12</f>
        <v/>
      </c>
      <c r="D12" s="8" t="inlineStr">
        <is>
          <t>GOOD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B1" sqref="B1"/>
    </sheetView>
  </sheetViews>
  <sheetFormatPr baseColWidth="8" defaultRowHeight="15"/>
  <cols>
    <col width="68.140625" bestFit="1" customWidth="1" min="1" max="1"/>
    <col width="19.7109375" bestFit="1" customWidth="1" min="2" max="2"/>
    <col width="7" bestFit="1" customWidth="1" min="3" max="3"/>
    <col width="10.28515625" bestFit="1" customWidth="1" min="4" max="4"/>
  </cols>
  <sheetData>
    <row r="1">
      <c r="A1" s="87" t="inlineStr">
        <is>
          <t>Functional Defects</t>
        </is>
      </c>
      <c r="B1" s="87" t="inlineStr">
        <is>
          <t>Functional Rating (F)</t>
        </is>
      </c>
      <c r="C1" s="87" t="inlineStr">
        <is>
          <t>ACI = F</t>
        </is>
      </c>
      <c r="D1" s="87" t="inlineStr">
        <is>
          <t>ACI Rating</t>
        </is>
      </c>
    </row>
    <row r="2">
      <c r="A2" s="2" t="inlineStr">
        <is>
          <t>Pavement surface has minor deterioration such as cracks, weathering 50%</t>
        </is>
      </c>
      <c r="B2" s="8" t="n">
        <v>0</v>
      </c>
      <c r="C2" s="8">
        <f>B2</f>
        <v/>
      </c>
      <c r="D2" s="8" t="inlineStr">
        <is>
          <t>POOR</t>
        </is>
      </c>
    </row>
    <row r="3">
      <c r="A3" s="2" t="inlineStr">
        <is>
          <t>Pavement surface has minor deterioration such as cracks, weathering 45%</t>
        </is>
      </c>
      <c r="B3" s="8" t="n">
        <v>10</v>
      </c>
      <c r="C3" s="8">
        <f>B3</f>
        <v/>
      </c>
      <c r="D3" s="8" t="inlineStr">
        <is>
          <t>POOR</t>
        </is>
      </c>
    </row>
    <row r="4">
      <c r="A4" s="2" t="inlineStr">
        <is>
          <t>Pavement surface has minor deterioration such as cracks, weathering 40%</t>
        </is>
      </c>
      <c r="B4" s="8" t="n">
        <v>20</v>
      </c>
      <c r="C4" s="8">
        <f>B4</f>
        <v/>
      </c>
      <c r="D4" s="8" t="inlineStr">
        <is>
          <t>POOR</t>
        </is>
      </c>
    </row>
    <row r="5">
      <c r="A5" s="2" t="inlineStr">
        <is>
          <t>Pavement surface has minor deterioration such as cracks, weathering 35%</t>
        </is>
      </c>
      <c r="B5" s="8" t="n">
        <v>30</v>
      </c>
      <c r="C5" s="8">
        <f>B5</f>
        <v/>
      </c>
      <c r="D5" s="8" t="inlineStr">
        <is>
          <t>POOR</t>
        </is>
      </c>
    </row>
    <row r="6">
      <c r="A6" s="2" t="inlineStr">
        <is>
          <t>Pavement surface has minor deterioration such as cracks, weathering 30%</t>
        </is>
      </c>
      <c r="B6" s="8" t="n">
        <v>40</v>
      </c>
      <c r="C6" s="8">
        <f>B6</f>
        <v/>
      </c>
      <c r="D6" s="8" t="inlineStr">
        <is>
          <t>POOR</t>
        </is>
      </c>
    </row>
    <row r="7">
      <c r="A7" s="2" t="inlineStr">
        <is>
          <t>Pavement surface has minor deterioration such as cracks, weathering 25%</t>
        </is>
      </c>
      <c r="B7" s="8" t="n">
        <v>50</v>
      </c>
      <c r="C7" s="8">
        <f>B7</f>
        <v/>
      </c>
      <c r="D7" s="8" t="inlineStr">
        <is>
          <t>FAIR</t>
        </is>
      </c>
    </row>
    <row r="8">
      <c r="A8" s="2" t="inlineStr">
        <is>
          <t>Pavement surface has minor deterioration such as cracks, weathering 20%</t>
        </is>
      </c>
      <c r="B8" s="8" t="n">
        <v>60</v>
      </c>
      <c r="C8" s="8">
        <f>B8</f>
        <v/>
      </c>
      <c r="D8" s="8" t="inlineStr">
        <is>
          <t>FAIR</t>
        </is>
      </c>
    </row>
    <row r="9">
      <c r="A9" s="2" t="inlineStr">
        <is>
          <t>Pavement surface has minor deterioration such as cracks, weathering 15%</t>
        </is>
      </c>
      <c r="B9" s="8" t="n">
        <v>70</v>
      </c>
      <c r="C9" s="8">
        <f>B9</f>
        <v/>
      </c>
      <c r="D9" s="8" t="inlineStr">
        <is>
          <t>FAIR</t>
        </is>
      </c>
    </row>
    <row r="10">
      <c r="A10" s="2" t="inlineStr">
        <is>
          <t>Pavement surface has minor deterioration such as cracks, weathering 10%</t>
        </is>
      </c>
      <c r="B10" s="8" t="n">
        <v>80</v>
      </c>
      <c r="C10" s="8">
        <f>B10</f>
        <v/>
      </c>
      <c r="D10" s="8" t="inlineStr">
        <is>
          <t>GOOD</t>
        </is>
      </c>
    </row>
    <row r="11">
      <c r="A11" s="2" t="inlineStr">
        <is>
          <t>Pavement surface has minor deterioration such as cracks, weathering 5%</t>
        </is>
      </c>
      <c r="B11" s="8" t="n">
        <v>90</v>
      </c>
      <c r="C11" s="8">
        <f>B11</f>
        <v/>
      </c>
      <c r="D11" s="8" t="inlineStr">
        <is>
          <t>GOOD</t>
        </is>
      </c>
    </row>
    <row r="12">
      <c r="A12" s="2" t="inlineStr">
        <is>
          <t>No Defect Found</t>
        </is>
      </c>
      <c r="B12" s="8" t="n">
        <v>100</v>
      </c>
      <c r="C12" s="8">
        <f>B12</f>
        <v/>
      </c>
      <c r="D12" s="8" t="inlineStr">
        <is>
          <t>GOOD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92D050"/>
    <outlinePr summaryBelow="1" summaryRight="1"/>
    <pageSetUpPr/>
  </sheetPr>
  <dimension ref="A1:L12"/>
  <sheetViews>
    <sheetView zoomScaleNormal="100" workbookViewId="0">
      <selection activeCell="F1" sqref="F1:K12"/>
    </sheetView>
  </sheetViews>
  <sheetFormatPr baseColWidth="8" defaultColWidth="40.140625" defaultRowHeight="15"/>
  <cols>
    <col width="13.85546875" customWidth="1" min="3" max="3"/>
    <col width="10.7109375" customWidth="1" min="4" max="5"/>
    <col width="107.28515625" bestFit="1" customWidth="1" style="12" min="6" max="6"/>
    <col width="22" bestFit="1" customWidth="1" style="12" min="7" max="7"/>
    <col width="19.28515625" bestFit="1" customWidth="1" min="8" max="8"/>
    <col width="21" bestFit="1" customWidth="1" min="9" max="9"/>
    <col width="10.140625" bestFit="1" customWidth="1" min="10" max="10"/>
    <col width="10.28515625" bestFit="1" customWidth="1" min="11" max="11"/>
  </cols>
  <sheetData>
    <row r="1" ht="24" customFormat="1" customHeight="1" s="15">
      <c r="A1" s="78" t="inlineStr">
        <is>
          <t>Benches Asset Condition Index Calculator (ACI-BE)</t>
        </is>
      </c>
      <c r="F1" s="87" t="inlineStr">
        <is>
          <t>Structural Defects</t>
        </is>
      </c>
      <c r="G1" s="87" t="inlineStr">
        <is>
          <t>Appearance Defects</t>
        </is>
      </c>
      <c r="H1" s="87" t="inlineStr">
        <is>
          <t>Structural Rating (S)</t>
        </is>
      </c>
      <c r="I1" s="87" t="inlineStr">
        <is>
          <t>Appearance Rating (A)</t>
        </is>
      </c>
      <c r="J1" s="87" t="inlineStr">
        <is>
          <t>ACI = S + A</t>
        </is>
      </c>
      <c r="K1" s="87" t="inlineStr">
        <is>
          <t>ACI Rating</t>
        </is>
      </c>
    </row>
    <row r="2" customFormat="1" s="15">
      <c r="F2" s="10" t="inlineStr">
        <is>
          <t>No Defect Found</t>
        </is>
      </c>
      <c r="G2" s="10" t="inlineStr">
        <is>
          <t>No Defect Found</t>
        </is>
      </c>
      <c r="H2" s="8" t="n">
        <v>60</v>
      </c>
      <c r="I2" s="8" t="n">
        <v>40</v>
      </c>
      <c r="J2" s="8">
        <f>H2+I2</f>
        <v/>
      </c>
      <c r="K2" s="8" t="inlineStr">
        <is>
          <t>GOOD</t>
        </is>
      </c>
    </row>
    <row r="3">
      <c r="A3" s="87" t="inlineStr">
        <is>
          <t>Select Appropriate Structural Defects</t>
        </is>
      </c>
      <c r="B3" s="87" t="inlineStr">
        <is>
          <t>Select Appropriate Appearance Defects</t>
        </is>
      </c>
      <c r="D3" s="39" t="inlineStr">
        <is>
          <t>S</t>
        </is>
      </c>
      <c r="E3" s="39" t="inlineStr">
        <is>
          <t>A</t>
        </is>
      </c>
      <c r="F3" s="10" t="inlineStr">
        <is>
          <t>Very minor Deterioration of wooden/Concrete/Granite/Marble/Plastic components and or rusting in metal components 5%</t>
        </is>
      </c>
      <c r="G3" s="10" t="inlineStr">
        <is>
          <t>Paint Deterioration 5%</t>
        </is>
      </c>
      <c r="H3" s="8" t="n">
        <v>54</v>
      </c>
      <c r="I3" s="8" t="n">
        <v>36</v>
      </c>
      <c r="J3" s="8">
        <f>H3+I3</f>
        <v/>
      </c>
      <c r="K3" s="8" t="inlineStr">
        <is>
          <t>GOOD</t>
        </is>
      </c>
    </row>
    <row r="4">
      <c r="A4" s="42" t="inlineStr">
        <is>
          <t>No Defect Found</t>
        </is>
      </c>
      <c r="B4" s="42" t="inlineStr">
        <is>
          <t>No Defect Found</t>
        </is>
      </c>
      <c r="D4" s="1">
        <f>VLOOKUP(A4, F1:H12, 3,FALSE)</f>
        <v/>
      </c>
      <c r="E4" s="1">
        <f>VLOOKUP(B4, G1:I13, 3, FALSE)</f>
        <v/>
      </c>
      <c r="F4" s="10" t="inlineStr">
        <is>
          <t>Minor Deterioration of wooden/Concrete/Granite/Marble/Plastic components and or rusting in metal components 10%</t>
        </is>
      </c>
      <c r="G4" s="10" t="inlineStr">
        <is>
          <t>Paint Deterioration 10%</t>
        </is>
      </c>
      <c r="H4" s="8" t="n">
        <v>48</v>
      </c>
      <c r="I4" s="8" t="n">
        <v>32</v>
      </c>
      <c r="J4" s="8">
        <f>H4+I4</f>
        <v/>
      </c>
      <c r="K4" s="8" t="inlineStr">
        <is>
          <t>GOOD</t>
        </is>
      </c>
    </row>
    <row r="5">
      <c r="F5" s="10" t="inlineStr">
        <is>
          <t>Deterioration of wooden/Concrete/Granite/Marble/Plastic components and or rusting in metal components 15%</t>
        </is>
      </c>
      <c r="G5" s="10" t="inlineStr">
        <is>
          <t>Paint Deterioration 15%</t>
        </is>
      </c>
      <c r="H5" s="8" t="n">
        <v>42</v>
      </c>
      <c r="I5" s="8" t="n">
        <v>28</v>
      </c>
      <c r="J5" s="8">
        <f>H5+I5</f>
        <v/>
      </c>
      <c r="K5" s="8" t="inlineStr">
        <is>
          <t>FAIR</t>
        </is>
      </c>
    </row>
    <row r="6">
      <c r="F6" s="10" t="inlineStr">
        <is>
          <t>Deterioration of wooden/Concrete/Granite/Marble/Plastic components and or rusting in metal components 20%</t>
        </is>
      </c>
      <c r="G6" s="10" t="inlineStr">
        <is>
          <t>Paint Deterioration 20%</t>
        </is>
      </c>
      <c r="H6" s="8" t="n">
        <v>36</v>
      </c>
      <c r="I6" s="8" t="n">
        <v>24</v>
      </c>
      <c r="J6" s="8">
        <f>H6+I6</f>
        <v/>
      </c>
      <c r="K6" s="8" t="inlineStr">
        <is>
          <t>FAIR</t>
        </is>
      </c>
    </row>
    <row r="7" ht="18.75" customHeight="1">
      <c r="A7" s="65" t="inlineStr">
        <is>
          <t>(ACI-BE) Value</t>
        </is>
      </c>
      <c r="B7" s="65">
        <f>IF(D4=0, 0, D4+E4)</f>
        <v/>
      </c>
      <c r="F7" s="10" t="inlineStr">
        <is>
          <t>Deterioration of wooden/Concrete/Granite/Marble/Plastic components and or rusting  in metal components 25%</t>
        </is>
      </c>
      <c r="G7" s="10" t="inlineStr">
        <is>
          <t>Paint Deterioration 25%</t>
        </is>
      </c>
      <c r="H7" s="8" t="n">
        <v>30</v>
      </c>
      <c r="I7" s="8" t="n">
        <v>20</v>
      </c>
      <c r="J7" s="8">
        <f>H7+I7</f>
        <v/>
      </c>
      <c r="K7" s="8" t="inlineStr">
        <is>
          <t>FAIR</t>
        </is>
      </c>
    </row>
    <row r="8" ht="21" customHeight="1">
      <c r="A8" s="65" t="inlineStr">
        <is>
          <t>(ACI-BE) Condition</t>
        </is>
      </c>
      <c r="B8" s="65">
        <f>IF(AND(B7&gt;=80, B7&lt;=100), "GOOD", IF(AND(B7&gt;40, B7&lt;80), "FAIR", "POOR"))</f>
        <v/>
      </c>
      <c r="F8" s="10" t="inlineStr">
        <is>
          <t>Deterioration of wooden/Concrete/Granite/Marble/Plastic components and or rusting  in metal components 30%</t>
        </is>
      </c>
      <c r="G8" s="10" t="inlineStr">
        <is>
          <t>Paint Deterioration 30%</t>
        </is>
      </c>
      <c r="H8" s="8" t="n">
        <v>24</v>
      </c>
      <c r="I8" s="8" t="n">
        <v>16</v>
      </c>
      <c r="J8" s="8">
        <f>H8+I8</f>
        <v/>
      </c>
      <c r="K8" s="8" t="inlineStr">
        <is>
          <t>POOR</t>
        </is>
      </c>
    </row>
    <row r="9">
      <c r="F9" s="10" t="inlineStr">
        <is>
          <t>Deterioration of wooden/Concrete/Granite/Marble/Plastic components and or rusting  in metal components 35%</t>
        </is>
      </c>
      <c r="G9" s="10" t="inlineStr">
        <is>
          <t>Paint Deterioration 35%</t>
        </is>
      </c>
      <c r="H9" s="8" t="n">
        <v>18</v>
      </c>
      <c r="I9" s="8" t="n">
        <v>12</v>
      </c>
      <c r="J9" s="8">
        <f>H9+I9</f>
        <v/>
      </c>
      <c r="K9" s="8" t="inlineStr">
        <is>
          <t>POOR</t>
        </is>
      </c>
    </row>
    <row r="10">
      <c r="F10" s="10" t="inlineStr">
        <is>
          <t>Deterioration of wooden/Concrete/Granite/Marble/Plastic components and or rusting  in metal components 40%</t>
        </is>
      </c>
      <c r="G10" s="10" t="inlineStr">
        <is>
          <t>Paint Deterioration 40%</t>
        </is>
      </c>
      <c r="H10" s="8" t="n">
        <v>12</v>
      </c>
      <c r="I10" s="8" t="n">
        <v>8</v>
      </c>
      <c r="J10" s="8">
        <f>H10+I10</f>
        <v/>
      </c>
      <c r="K10" s="8" t="inlineStr">
        <is>
          <t>POOR</t>
        </is>
      </c>
      <c r="L10" t="inlineStr">
        <is>
          <t>``</t>
        </is>
      </c>
    </row>
    <row r="11">
      <c r="F11" s="10" t="inlineStr">
        <is>
          <t>Deterioration of wooden/Concrete/Granite/Marble/Plastic components and or rusting  in metal components 45%</t>
        </is>
      </c>
      <c r="G11" s="10" t="inlineStr">
        <is>
          <t>Paint Deterioration 45%</t>
        </is>
      </c>
      <c r="H11" s="8" t="n">
        <v>6</v>
      </c>
      <c r="I11" s="8" t="n">
        <v>4</v>
      </c>
      <c r="J11" s="8">
        <f>H11+I11</f>
        <v/>
      </c>
      <c r="K11" s="8" t="inlineStr">
        <is>
          <t>POOR</t>
        </is>
      </c>
    </row>
    <row r="12">
      <c r="F12" s="10" t="inlineStr">
        <is>
          <t>Deterioration of wooden/Concrete/Granite/Marble/Plastic components and or rusting  in metal components more than 45%</t>
        </is>
      </c>
      <c r="G12" s="10" t="inlineStr">
        <is>
          <t>Paint Deterioration 50%</t>
        </is>
      </c>
      <c r="H12" s="8" t="n">
        <v>0</v>
      </c>
      <c r="I12" s="8" t="n">
        <v>0</v>
      </c>
      <c r="J12" s="8">
        <f>H12+I12</f>
        <v/>
      </c>
      <c r="K12" s="8" t="inlineStr">
        <is>
          <t>POOR</t>
        </is>
      </c>
    </row>
  </sheetData>
  <autoFilter ref="F1:K12">
    <sortState ref="F2:K12">
      <sortCondition descending="1" ref="J1:J12"/>
    </sortState>
  </autoFilter>
  <mergeCells count="1">
    <mergeCell ref="A1:B1"/>
  </mergeCells>
  <dataValidations count="3">
    <dataValidation sqref="B4" showDropDown="0" showInputMessage="1" showErrorMessage="1" allowBlank="1" type="list">
      <formula1>$G$2:$G$12</formula1>
    </dataValidation>
    <dataValidation sqref="A4" showDropDown="0" showInputMessage="1" showErrorMessage="1" allowBlank="1" type="list">
      <formula1>$F$2:$F$12</formula1>
    </dataValidation>
    <dataValidation sqref="A5" showDropDown="0" showInputMessage="1" showErrorMessage="1" allowBlank="1" type="list">
      <formula1>$J$5:$J$13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92D050"/>
    <outlinePr summaryBelow="1" summaryRight="1"/>
    <pageSetUpPr/>
  </sheetPr>
  <dimension ref="A1:M12"/>
  <sheetViews>
    <sheetView zoomScale="90" zoomScaleNormal="90" workbookViewId="0">
      <selection activeCell="A1" sqref="A1:E8"/>
    </sheetView>
  </sheetViews>
  <sheetFormatPr baseColWidth="8" defaultRowHeight="15"/>
  <cols>
    <col width="35.42578125" bestFit="1" customWidth="1" min="1" max="1"/>
    <col width="43.28515625" customWidth="1" min="2" max="2"/>
    <col width="39.85546875" bestFit="1" customWidth="1" style="27" min="7" max="7"/>
    <col width="37.140625" bestFit="1" customWidth="1" style="27" min="8" max="8"/>
    <col width="19.28515625" bestFit="1" customWidth="1" min="9" max="9"/>
    <col width="21.28515625" bestFit="1" customWidth="1" min="10" max="10"/>
    <col width="10.28515625" bestFit="1" customWidth="1" min="11" max="11"/>
    <col width="10.5703125" bestFit="1" customWidth="1" min="12" max="12"/>
    <col width="9.140625" customWidth="1" style="1" min="13" max="13"/>
  </cols>
  <sheetData>
    <row r="1" ht="24" customFormat="1" customHeight="1" s="15">
      <c r="A1" s="78" t="inlineStr">
        <is>
          <t>Cycle Rack Asset Condition Index Calculator (ACI-CY)</t>
        </is>
      </c>
      <c r="G1" s="84" t="inlineStr">
        <is>
          <t>Structural Defects</t>
        </is>
      </c>
      <c r="H1" s="84" t="inlineStr">
        <is>
          <t>Appearance Defects</t>
        </is>
      </c>
      <c r="I1" s="87" t="inlineStr">
        <is>
          <t>Structural Rating (S)</t>
        </is>
      </c>
      <c r="J1" s="87" t="inlineStr">
        <is>
          <t>Appearance Rating (A)</t>
        </is>
      </c>
      <c r="K1" s="87" t="inlineStr">
        <is>
          <t>ACI = S + A</t>
        </is>
      </c>
      <c r="L1" s="87" t="inlineStr">
        <is>
          <t>ACI Rating</t>
        </is>
      </c>
      <c r="M1" s="23" t="n"/>
    </row>
    <row r="2" customFormat="1" s="15">
      <c r="G2" s="17" t="inlineStr">
        <is>
          <t>No Defect Found</t>
        </is>
      </c>
      <c r="H2" s="17" t="inlineStr">
        <is>
          <t>No Defect Found</t>
        </is>
      </c>
      <c r="I2" s="8" t="n">
        <v>60</v>
      </c>
      <c r="J2" s="8" t="n">
        <v>40</v>
      </c>
      <c r="K2" s="8">
        <f>I2+J2</f>
        <v/>
      </c>
      <c r="L2" s="8" t="inlineStr">
        <is>
          <t>GOOD</t>
        </is>
      </c>
      <c r="M2" s="23" t="n"/>
    </row>
    <row r="3" ht="30" customHeight="1">
      <c r="A3" s="87" t="inlineStr">
        <is>
          <t>Select Appropriate Structural Defects</t>
        </is>
      </c>
      <c r="B3" s="87" t="inlineStr">
        <is>
          <t>Select Appropriate Appearance Defects</t>
        </is>
      </c>
      <c r="D3" s="39" t="inlineStr">
        <is>
          <t>S</t>
        </is>
      </c>
      <c r="E3" s="39" t="inlineStr">
        <is>
          <t>A</t>
        </is>
      </c>
      <c r="G3" s="17" t="inlineStr">
        <is>
          <t>Damaged components and or loose or missing nuts and bolts 5%</t>
        </is>
      </c>
      <c r="H3" s="17" t="inlineStr">
        <is>
          <t>Paint or protective coating Deterioration 5% and or rusting 5%</t>
        </is>
      </c>
      <c r="I3" s="8" t="n">
        <v>55</v>
      </c>
      <c r="J3" s="8" t="n">
        <v>36</v>
      </c>
      <c r="K3" s="8">
        <f>I3+J3</f>
        <v/>
      </c>
      <c r="L3" s="8" t="inlineStr">
        <is>
          <t>GOOD</t>
        </is>
      </c>
    </row>
    <row r="4" ht="30" customHeight="1">
      <c r="A4" s="90" t="inlineStr">
        <is>
          <t>No Defect Found</t>
        </is>
      </c>
      <c r="B4" s="90" t="inlineStr">
        <is>
          <t>No Defect Found</t>
        </is>
      </c>
      <c r="D4" s="7">
        <f>VLOOKUP(A4, G2:I13, 3,FALSE)</f>
        <v/>
      </c>
      <c r="E4" s="7">
        <f>VLOOKUP(B4, H2:J12, 3, FALSE)</f>
        <v/>
      </c>
      <c r="G4" s="17" t="inlineStr">
        <is>
          <t>Damaged components and or loose or missing nuts and bolts 10%</t>
        </is>
      </c>
      <c r="H4" s="17" t="inlineStr">
        <is>
          <t>Paint Deterioration 10% and or rusting 10%</t>
        </is>
      </c>
      <c r="I4" s="8" t="n">
        <v>50</v>
      </c>
      <c r="J4" s="8" t="n">
        <v>32</v>
      </c>
      <c r="K4" s="8">
        <f>I4+J4</f>
        <v/>
      </c>
      <c r="L4" s="8" t="inlineStr">
        <is>
          <t>GOOD</t>
        </is>
      </c>
    </row>
    <row r="5" ht="30" customHeight="1">
      <c r="G5" s="17" t="inlineStr">
        <is>
          <t>Damaged components and or loose or missing nuts and bolts 15%</t>
        </is>
      </c>
      <c r="H5" s="17" t="inlineStr">
        <is>
          <t>Paint Deterioration 15% and or rusting 15%</t>
        </is>
      </c>
      <c r="I5" s="8" t="n">
        <v>45</v>
      </c>
      <c r="J5" s="8" t="n">
        <v>28</v>
      </c>
      <c r="K5" s="8">
        <f>I5+J5</f>
        <v/>
      </c>
      <c r="L5" s="8" t="inlineStr">
        <is>
          <t>FAIR</t>
        </is>
      </c>
    </row>
    <row r="6" ht="30" customHeight="1">
      <c r="G6" s="17" t="inlineStr">
        <is>
          <t>Damaged components and or loose or missing nuts and bolts 20%</t>
        </is>
      </c>
      <c r="H6" s="17" t="inlineStr">
        <is>
          <t>Paint Deterioration 20% and or rusting 20%</t>
        </is>
      </c>
      <c r="I6" s="8" t="n">
        <v>40</v>
      </c>
      <c r="J6" s="8" t="n">
        <v>24</v>
      </c>
      <c r="K6" s="8">
        <f>I6+J6</f>
        <v/>
      </c>
      <c r="L6" s="8" t="inlineStr">
        <is>
          <t>FAIR</t>
        </is>
      </c>
    </row>
    <row r="7" ht="30" customHeight="1">
      <c r="A7" s="65" t="inlineStr">
        <is>
          <t>(ACI-CY) Value</t>
        </is>
      </c>
      <c r="B7" s="65">
        <f>IF(D4=0, 0, D4+E4)</f>
        <v/>
      </c>
      <c r="G7" s="17" t="inlineStr">
        <is>
          <t>Damaged components and or loose or missing nuts and bolts 25%</t>
        </is>
      </c>
      <c r="H7" s="17" t="inlineStr">
        <is>
          <t>Paint Deterioration 25% and or rusting 25%</t>
        </is>
      </c>
      <c r="I7" s="8" t="n">
        <v>35</v>
      </c>
      <c r="J7" s="8" t="n">
        <v>20</v>
      </c>
      <c r="K7" s="8">
        <f>I7+J7</f>
        <v/>
      </c>
      <c r="L7" s="8" t="inlineStr">
        <is>
          <t>FAIR</t>
        </is>
      </c>
    </row>
    <row r="8" ht="30" customHeight="1">
      <c r="A8" s="65" t="inlineStr">
        <is>
          <t>(ACI-CY) Condition</t>
        </is>
      </c>
      <c r="B8" s="65">
        <f>IF(AND(B7&gt;=80, B7&lt;=100), "GOOD", IF(AND(B7&gt;40, B7&lt;80), "FAIR", "POOR"))</f>
        <v/>
      </c>
      <c r="G8" s="17" t="inlineStr">
        <is>
          <t>Damaged components and or loose or missing nuts and bolts 30%</t>
        </is>
      </c>
      <c r="H8" s="17" t="inlineStr">
        <is>
          <t>Paint Deterioration 30% and or rusting 30%</t>
        </is>
      </c>
      <c r="I8" s="8" t="n">
        <v>30</v>
      </c>
      <c r="J8" s="8" t="n">
        <v>16</v>
      </c>
      <c r="K8" s="8">
        <f>I8+J8</f>
        <v/>
      </c>
      <c r="L8" s="8" t="inlineStr">
        <is>
          <t>POOR</t>
        </is>
      </c>
    </row>
    <row r="9" ht="30" customHeight="1">
      <c r="G9" s="17" t="inlineStr">
        <is>
          <t>Damaged components and or loose or missing nuts and bolts 35%</t>
        </is>
      </c>
      <c r="H9" s="17" t="inlineStr">
        <is>
          <t>Paint Deterioration 35% and or rusting 35%</t>
        </is>
      </c>
      <c r="I9" s="8" t="n">
        <v>25</v>
      </c>
      <c r="J9" s="8" t="n">
        <v>12</v>
      </c>
      <c r="K9" s="8">
        <f>I9+J9</f>
        <v/>
      </c>
      <c r="L9" s="8" t="inlineStr">
        <is>
          <t>POOR</t>
        </is>
      </c>
    </row>
    <row r="10" ht="45" customHeight="1">
      <c r="G10" s="17" t="inlineStr">
        <is>
          <t>Damaged components and or loose or missing nuts and bolts 40% (Safety concern)</t>
        </is>
      </c>
      <c r="H10" s="17" t="inlineStr">
        <is>
          <t>Paint Deterioration 40% and or rusting 40%</t>
        </is>
      </c>
      <c r="I10" s="8" t="n">
        <v>20</v>
      </c>
      <c r="J10" s="8" t="n">
        <v>8</v>
      </c>
      <c r="K10" s="8">
        <f>I10+J10</f>
        <v/>
      </c>
      <c r="L10" s="8" t="inlineStr">
        <is>
          <t>POOR</t>
        </is>
      </c>
    </row>
    <row r="11" ht="45" customHeight="1">
      <c r="G11" s="17" t="inlineStr">
        <is>
          <t>Damaged components and or loose or missing nuts and bolts 45% (Safety concern)</t>
        </is>
      </c>
      <c r="H11" s="17" t="inlineStr">
        <is>
          <t>Paint Deterioration 45% and or rusting 45%</t>
        </is>
      </c>
      <c r="I11" s="8" t="n">
        <v>10</v>
      </c>
      <c r="J11" s="8" t="n">
        <v>4</v>
      </c>
      <c r="K11" s="8">
        <f>I11+J11</f>
        <v/>
      </c>
      <c r="L11" s="8" t="inlineStr">
        <is>
          <t>POOR</t>
        </is>
      </c>
    </row>
    <row r="12" ht="30" customHeight="1">
      <c r="G12" s="17" t="inlineStr">
        <is>
          <t>Completely damaged</t>
        </is>
      </c>
      <c r="H12" s="17" t="inlineStr">
        <is>
          <t>Paint Deterioration 50% and or rusting 50%</t>
        </is>
      </c>
      <c r="I12" s="8" t="n">
        <v>0</v>
      </c>
      <c r="J12" s="8" t="n">
        <v>0</v>
      </c>
      <c r="K12" s="8">
        <f>I12+J12</f>
        <v/>
      </c>
      <c r="L12" s="8" t="inlineStr">
        <is>
          <t>POOR</t>
        </is>
      </c>
    </row>
  </sheetData>
  <autoFilter ref="G1:L12">
    <sortState ref="G2:L12">
      <sortCondition descending="1" ref="K1:K12"/>
    </sortState>
  </autoFilter>
  <mergeCells count="1">
    <mergeCell ref="A1:B1"/>
  </mergeCells>
  <dataValidations count="3">
    <dataValidation sqref="A5" showDropDown="0" showInputMessage="1" showErrorMessage="1" allowBlank="1" type="list">
      <formula1>$J$5:$J$13</formula1>
    </dataValidation>
    <dataValidation sqref="A4" showDropDown="0" showInputMessage="1" showErrorMessage="1" allowBlank="1" type="list">
      <formula1>$G$2:$G$12</formula1>
    </dataValidation>
    <dataValidation sqref="B4" showDropDown="0" showInputMessage="1" showErrorMessage="1" allowBlank="1" type="list">
      <formula1>$H$2:$H$12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92D050"/>
    <outlinePr summaryBelow="1" summaryRight="1"/>
    <pageSetUpPr/>
  </sheetPr>
  <dimension ref="A1:J12"/>
  <sheetViews>
    <sheetView workbookViewId="0">
      <selection activeCell="G26" sqref="G26"/>
    </sheetView>
  </sheetViews>
  <sheetFormatPr baseColWidth="8" defaultRowHeight="15"/>
  <cols>
    <col width="52.85546875" customWidth="1" min="1" max="1"/>
    <col width="22.85546875" customWidth="1" min="2" max="2"/>
    <col width="68.42578125" bestFit="1" customWidth="1" min="7" max="7"/>
    <col width="19.7109375" bestFit="1" customWidth="1" min="8" max="8"/>
    <col width="7" bestFit="1" customWidth="1" min="9" max="9"/>
    <col width="10.28515625" bestFit="1" customWidth="1" min="10" max="10"/>
  </cols>
  <sheetData>
    <row r="1" ht="24" customFormat="1" customHeight="1" s="15">
      <c r="A1" s="78" t="inlineStr">
        <is>
          <t>Island Asset Condition Index Calculator (ACI-IS)</t>
        </is>
      </c>
      <c r="G1" s="87" t="inlineStr">
        <is>
          <t>Functional Defects</t>
        </is>
      </c>
      <c r="H1" s="87" t="inlineStr">
        <is>
          <t>Functional Rating (F)</t>
        </is>
      </c>
      <c r="I1" s="87" t="inlineStr">
        <is>
          <t>ACI = F</t>
        </is>
      </c>
      <c r="J1" s="87" t="inlineStr">
        <is>
          <t>ACI Rating</t>
        </is>
      </c>
    </row>
    <row r="2" customFormat="1" s="15">
      <c r="G2" s="2" t="inlineStr">
        <is>
          <t>No Defect Found</t>
        </is>
      </c>
      <c r="H2" s="8" t="n">
        <v>100</v>
      </c>
      <c r="I2" s="8">
        <f>H2</f>
        <v/>
      </c>
      <c r="J2" s="8" t="inlineStr">
        <is>
          <t>GOOD</t>
        </is>
      </c>
    </row>
    <row r="3">
      <c r="A3" s="87" t="inlineStr">
        <is>
          <t>Select Appropriate Functional Defects</t>
        </is>
      </c>
      <c r="B3" s="14" t="n"/>
      <c r="D3" s="39" t="inlineStr">
        <is>
          <t>F</t>
        </is>
      </c>
      <c r="G3" s="2" t="inlineStr">
        <is>
          <t>Island has minor paver deterioration 5%</t>
        </is>
      </c>
      <c r="H3" s="8" t="n">
        <v>90</v>
      </c>
      <c r="I3" s="8">
        <f>H3</f>
        <v/>
      </c>
      <c r="J3" s="8" t="inlineStr">
        <is>
          <t>GOOD</t>
        </is>
      </c>
    </row>
    <row r="4">
      <c r="A4" s="90" t="inlineStr">
        <is>
          <t>No Defect Found</t>
        </is>
      </c>
      <c r="B4" s="42" t="n"/>
      <c r="D4" s="7">
        <f>VLOOKUP(A4,G2:I12, 3,FALSE)</f>
        <v/>
      </c>
      <c r="G4" s="68" t="inlineStr">
        <is>
          <t>Island has minor paver deterioration 10%</t>
        </is>
      </c>
      <c r="H4" s="8" t="n">
        <v>80</v>
      </c>
      <c r="I4" s="8">
        <f>H4</f>
        <v/>
      </c>
      <c r="J4" s="8" t="inlineStr">
        <is>
          <t>GOOD</t>
        </is>
      </c>
    </row>
    <row r="5">
      <c r="G5" s="2" t="inlineStr">
        <is>
          <t>Island has depression 15% and or paver deterioration 15%</t>
        </is>
      </c>
      <c r="H5" s="8" t="n">
        <v>70</v>
      </c>
      <c r="I5" s="8">
        <f>H5</f>
        <v/>
      </c>
      <c r="J5" s="8" t="inlineStr">
        <is>
          <t>FAIR</t>
        </is>
      </c>
    </row>
    <row r="6">
      <c r="G6" s="2" t="inlineStr">
        <is>
          <t>Island has depression 20% and or paver deterioration 20%</t>
        </is>
      </c>
      <c r="H6" s="8" t="n">
        <v>60</v>
      </c>
      <c r="I6" s="8">
        <f>H6</f>
        <v/>
      </c>
      <c r="J6" s="8" t="inlineStr">
        <is>
          <t>FAIR</t>
        </is>
      </c>
    </row>
    <row r="7">
      <c r="A7" s="44" t="inlineStr">
        <is>
          <t>(ACI-IS) Value</t>
        </is>
      </c>
      <c r="B7" s="44">
        <f>D4</f>
        <v/>
      </c>
      <c r="G7" s="2" t="inlineStr">
        <is>
          <t>Island has depression 25% and or paver deterioration 25%</t>
        </is>
      </c>
      <c r="H7" s="8" t="n">
        <v>50</v>
      </c>
      <c r="I7" s="8">
        <f>H7</f>
        <v/>
      </c>
      <c r="J7" s="8" t="inlineStr">
        <is>
          <t>FAIR</t>
        </is>
      </c>
    </row>
    <row r="8">
      <c r="A8" s="44" t="inlineStr">
        <is>
          <t>(ACI-IS) Condition</t>
        </is>
      </c>
      <c r="B8" s="44">
        <f>IF(AND(B7&gt;=80, B7&lt;=100), "GOOD", IF(AND(B7&gt;40, B7&lt;80), "FAIR", "POOR"))</f>
        <v/>
      </c>
      <c r="G8" s="2" t="inlineStr">
        <is>
          <t>Island has depression 30% and or paver deterioration 30%</t>
        </is>
      </c>
      <c r="H8" s="8" t="n">
        <v>40</v>
      </c>
      <c r="I8" s="8">
        <f>H8</f>
        <v/>
      </c>
      <c r="J8" s="8" t="inlineStr">
        <is>
          <t>POOR</t>
        </is>
      </c>
    </row>
    <row r="9">
      <c r="G9" s="2" t="inlineStr">
        <is>
          <t>Island has depression 35% and or paver deterioration 35% (safety concern)</t>
        </is>
      </c>
      <c r="H9" s="8" t="n">
        <v>30</v>
      </c>
      <c r="I9" s="8">
        <f>H9</f>
        <v/>
      </c>
      <c r="J9" s="8" t="inlineStr">
        <is>
          <t>POOR</t>
        </is>
      </c>
    </row>
    <row r="10">
      <c r="G10" s="2" t="inlineStr">
        <is>
          <t>Island has depression 40% and or paver deterioration 40% (safety concern)</t>
        </is>
      </c>
      <c r="H10" s="8" t="n">
        <v>20</v>
      </c>
      <c r="I10" s="8">
        <f>H10</f>
        <v/>
      </c>
      <c r="J10" s="8" t="inlineStr">
        <is>
          <t>POOR</t>
        </is>
      </c>
    </row>
    <row r="11">
      <c r="G11" s="2" t="inlineStr">
        <is>
          <t>Island has depression 45% and or paver deterioration 45% (safety concern)</t>
        </is>
      </c>
      <c r="H11" s="8" t="n">
        <v>10</v>
      </c>
      <c r="I11" s="8">
        <f>H11</f>
        <v/>
      </c>
      <c r="J11" s="8" t="inlineStr">
        <is>
          <t>POOR</t>
        </is>
      </c>
    </row>
    <row r="12">
      <c r="G12" s="2" t="inlineStr">
        <is>
          <t>Island has depression 50% and or paver deterioration 50% (safety concern)</t>
        </is>
      </c>
      <c r="H12" s="8" t="n">
        <v>0</v>
      </c>
      <c r="I12" s="8">
        <f>H12</f>
        <v/>
      </c>
      <c r="J12" s="8" t="inlineStr">
        <is>
          <t>POOR</t>
        </is>
      </c>
    </row>
  </sheetData>
  <autoFilter ref="G1:J12">
    <sortState ref="G2:J12">
      <sortCondition descending="1" ref="I1:I12"/>
    </sortState>
  </autoFilter>
  <mergeCells count="1">
    <mergeCell ref="A1:B1"/>
  </mergeCells>
  <dataValidations count="2">
    <dataValidation sqref="A4" showDropDown="0" showInputMessage="1" showErrorMessage="1" allowBlank="1" type="list">
      <formula1>$G$2:$G$12</formula1>
    </dataValidation>
    <dataValidation sqref="A5" showDropDown="0" showInputMessage="1" showErrorMessage="1" allowBlank="1" type="list">
      <formula1>$G$4:$G$12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92D050"/>
    <outlinePr summaryBelow="1" summaryRight="1"/>
    <pageSetUpPr/>
  </sheetPr>
  <dimension ref="A1:AY32"/>
  <sheetViews>
    <sheetView zoomScaleNormal="100" workbookViewId="0">
      <selection activeCell="B25" sqref="B25"/>
    </sheetView>
  </sheetViews>
  <sheetFormatPr baseColWidth="8" defaultRowHeight="15"/>
  <cols>
    <col width="25.42578125" customWidth="1" min="1" max="1"/>
    <col width="23.5703125" bestFit="1" customWidth="1" min="2" max="2"/>
    <col width="19.7109375" customWidth="1" min="3" max="3"/>
    <col width="28.5703125" customWidth="1" min="4" max="4"/>
    <col width="17.7109375" customWidth="1" min="5" max="5"/>
    <col width="9.140625" customWidth="1" min="13" max="18"/>
    <col width="36.42578125" customWidth="1" min="19" max="19"/>
    <col width="82.42578125" customWidth="1" min="20" max="20"/>
    <col width="18.28515625" customWidth="1" min="21" max="21"/>
    <col width="18.85546875" customWidth="1" min="22" max="22"/>
    <col width="10.140625" customWidth="1" min="23" max="23"/>
    <col width="10.28515625" customWidth="1" min="24" max="24"/>
    <col width="9.140625" customWidth="1" style="7" min="25" max="26"/>
    <col width="9.140625" customWidth="1" style="7" min="27" max="27"/>
    <col width="18.28515625" bestFit="1" customWidth="1" min="43" max="43"/>
    <col width="15" bestFit="1" customWidth="1" min="44" max="44"/>
  </cols>
  <sheetData>
    <row r="1" ht="24" customHeight="1">
      <c r="A1" s="80" t="inlineStr">
        <is>
          <t>Road Sign Asset Condition Index Calculator (ACI-RS)</t>
        </is>
      </c>
      <c r="E1" s="80" t="n"/>
      <c r="I1" s="12" t="n"/>
    </row>
    <row r="2">
      <c r="I2" s="7" t="n"/>
      <c r="T2" t="inlineStr">
        <is>
          <t>road sign face</t>
        </is>
      </c>
      <c r="AD2" t="inlineStr">
        <is>
          <t>road sign pole</t>
        </is>
      </c>
    </row>
    <row r="3" ht="24.95" customHeight="1">
      <c r="A3" s="81" t="inlineStr">
        <is>
          <t>A. Road Sign Face Condition (ACI-RS-F)</t>
        </is>
      </c>
      <c r="G3" s="39" t="n"/>
      <c r="H3" s="39" t="n"/>
    </row>
    <row r="4" ht="24.95" customFormat="1" customHeight="1" s="14">
      <c r="A4" s="92" t="inlineStr">
        <is>
          <t>If Retroreflectivity (RL) Data is Available</t>
        </is>
      </c>
      <c r="E4" s="70" t="n"/>
      <c r="G4" s="1" t="n"/>
      <c r="H4" s="1" t="n"/>
      <c r="S4" s="87" t="inlineStr">
        <is>
          <t>Visibility Defects</t>
        </is>
      </c>
      <c r="T4" s="87" t="inlineStr">
        <is>
          <t>Presence Defects</t>
        </is>
      </c>
      <c r="U4" s="87" t="inlineStr">
        <is>
          <t>Visibility Rating (V)</t>
        </is>
      </c>
      <c r="V4" s="87" t="inlineStr">
        <is>
          <t>Presence Rating (P)</t>
        </is>
      </c>
      <c r="W4" s="87" t="inlineStr">
        <is>
          <t>ACI = V + P</t>
        </is>
      </c>
      <c r="X4" s="87" t="inlineStr">
        <is>
          <t>ACI Rating</t>
        </is>
      </c>
      <c r="Y4" s="7" t="n"/>
      <c r="Z4" s="87" t="inlineStr">
        <is>
          <t>Functional Defects</t>
        </is>
      </c>
      <c r="AA4" s="87" t="inlineStr">
        <is>
          <t>Appearance Defects</t>
        </is>
      </c>
      <c r="AB4" s="87" t="inlineStr">
        <is>
          <t>Functional Rating (F)</t>
        </is>
      </c>
      <c r="AC4" s="87" t="inlineStr">
        <is>
          <t>Appearance Rating (A)</t>
        </is>
      </c>
      <c r="AD4" s="87" t="inlineStr">
        <is>
          <t>ACI = F + A</t>
        </is>
      </c>
      <c r="AE4" s="87" t="inlineStr">
        <is>
          <t>ACI Rating</t>
        </is>
      </c>
      <c r="AG4" s="54" t="inlineStr">
        <is>
          <t>Observation Angle</t>
        </is>
      </c>
      <c r="AH4" s="54" t="inlineStr">
        <is>
          <t>Entrance Angle</t>
        </is>
      </c>
      <c r="AI4" s="54" t="inlineStr">
        <is>
          <t>Color</t>
        </is>
      </c>
      <c r="AJ4" s="54" t="inlineStr">
        <is>
          <t>Link</t>
        </is>
      </c>
      <c r="AK4" s="56" t="inlineStr">
        <is>
          <t>RL Value</t>
        </is>
      </c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</row>
    <row r="5" ht="44.25" customFormat="1" customHeight="1" s="14">
      <c r="A5" s="85" t="inlineStr">
        <is>
          <t>Select Observation Angle</t>
        </is>
      </c>
      <c r="B5" s="85" t="inlineStr">
        <is>
          <t>Select Entrance Angle</t>
        </is>
      </c>
      <c r="C5" s="84" t="inlineStr">
        <is>
          <t>Select Color</t>
        </is>
      </c>
      <c r="D5" s="84" t="inlineStr">
        <is>
          <t>Input Measured Retroreflectivity (RL) Value</t>
        </is>
      </c>
      <c r="E5" s="84" t="inlineStr">
        <is>
          <t>Select Presence Defects</t>
        </is>
      </c>
      <c r="F5" s="52" t="inlineStr">
        <is>
          <t>link</t>
        </is>
      </c>
      <c r="G5" s="63" t="inlineStr">
        <is>
          <t>V</t>
        </is>
      </c>
      <c r="H5" s="63" t="inlineStr">
        <is>
          <t>P</t>
        </is>
      </c>
      <c r="S5" s="34" t="inlineStr">
        <is>
          <t>No Defect Found</t>
        </is>
      </c>
      <c r="T5" s="34" t="inlineStr">
        <is>
          <t>No Defect Found</t>
        </is>
      </c>
      <c r="U5" s="21" t="n">
        <v>50</v>
      </c>
      <c r="V5" s="21" t="n">
        <v>50</v>
      </c>
      <c r="W5" s="21">
        <f>U5+V5</f>
        <v/>
      </c>
      <c r="X5" s="20" t="inlineStr">
        <is>
          <t>GOOD</t>
        </is>
      </c>
      <c r="Y5" s="7" t="n"/>
      <c r="Z5" s="2" t="inlineStr">
        <is>
          <t>No Defect Found</t>
        </is>
      </c>
      <c r="AA5" s="2" t="inlineStr">
        <is>
          <t>No Defect Found</t>
        </is>
      </c>
      <c r="AB5" s="8" t="n">
        <v>80</v>
      </c>
      <c r="AC5" s="8" t="n">
        <v>20</v>
      </c>
      <c r="AD5" s="8">
        <f>AB5+AC5</f>
        <v/>
      </c>
      <c r="AE5" s="10" t="inlineStr">
        <is>
          <t>GOOD</t>
        </is>
      </c>
      <c r="AG5" s="55" t="n">
        <v>0.2</v>
      </c>
      <c r="AH5" s="55" t="n">
        <v>-40</v>
      </c>
      <c r="AI5" s="57" t="inlineStr">
        <is>
          <t>White</t>
        </is>
      </c>
      <c r="AJ5" s="2">
        <f>CONCATENATE(AG5,AH5,AI5)</f>
        <v/>
      </c>
      <c r="AK5" s="55" t="n">
        <v>360</v>
      </c>
      <c r="AL5" s="7" t="n"/>
      <c r="AM5" s="7" t="n"/>
      <c r="AN5" s="7" t="n"/>
      <c r="AO5" s="7" t="n"/>
      <c r="AP5" s="7" t="n"/>
      <c r="AQ5" s="54" t="inlineStr">
        <is>
          <t>Observation Angle</t>
        </is>
      </c>
      <c r="AR5" s="54" t="inlineStr">
        <is>
          <t>Entrance Angle</t>
        </is>
      </c>
      <c r="AS5" s="54" t="inlineStr">
        <is>
          <t>White</t>
        </is>
      </c>
      <c r="AT5" s="54" t="inlineStr">
        <is>
          <t>Yellow</t>
        </is>
      </c>
      <c r="AU5" s="54" t="inlineStr">
        <is>
          <t>Orange</t>
        </is>
      </c>
      <c r="AV5" s="54" t="inlineStr">
        <is>
          <t>Green</t>
        </is>
      </c>
      <c r="AW5" s="54" t="inlineStr">
        <is>
          <t>Red</t>
        </is>
      </c>
      <c r="AX5" s="54" t="inlineStr">
        <is>
          <t>Blue</t>
        </is>
      </c>
      <c r="AY5" s="54" t="inlineStr">
        <is>
          <t>Brown</t>
        </is>
      </c>
    </row>
    <row r="6" ht="21" customHeight="1">
      <c r="A6" s="90" t="n">
        <v>0.2</v>
      </c>
      <c r="B6" s="90" t="n">
        <v>-40</v>
      </c>
      <c r="C6" s="90" t="inlineStr">
        <is>
          <t>White</t>
        </is>
      </c>
      <c r="D6" s="90" t="n">
        <v>200</v>
      </c>
      <c r="E6" s="90" t="inlineStr">
        <is>
          <t>No Defect Found</t>
        </is>
      </c>
      <c r="F6">
        <f>CONCATENATE(A6,B6,C6)</f>
        <v/>
      </c>
      <c r="G6" s="7">
        <f>ROUND(50*(D6/VLOOKUP(F6, AJ4:AK32, 2,FALSE)), 0)</f>
        <v/>
      </c>
      <c r="H6" s="7">
        <f>VLOOKUP(E6, T5:V15, 3, FALSE)</f>
        <v/>
      </c>
      <c r="S6" s="34" t="inlineStr">
        <is>
          <t>Road sign with 90% visibility</t>
        </is>
      </c>
      <c r="T6" s="34" t="inlineStr">
        <is>
          <t>Road sign with 2% fading</t>
        </is>
      </c>
      <c r="U6" s="21" t="n">
        <v>45</v>
      </c>
      <c r="V6" s="21" t="n">
        <v>45</v>
      </c>
      <c r="W6" s="21">
        <f>U6+V6</f>
        <v/>
      </c>
      <c r="X6" s="20" t="inlineStr">
        <is>
          <t>GOOD</t>
        </is>
      </c>
      <c r="Z6" s="2" t="inlineStr">
        <is>
          <t xml:space="preserve">Post Misaligned Minor 1% and or any other minor deterioration 1% </t>
        </is>
      </c>
      <c r="AA6" s="2" t="inlineStr">
        <is>
          <t xml:space="preserve">Minor Paint faded or Peeled off 1% </t>
        </is>
      </c>
      <c r="AB6" s="8" t="n">
        <v>72</v>
      </c>
      <c r="AC6" s="8" t="n">
        <v>18</v>
      </c>
      <c r="AD6" s="8">
        <f>AB6+AC6</f>
        <v/>
      </c>
      <c r="AE6" s="10" t="inlineStr">
        <is>
          <t>GOOD</t>
        </is>
      </c>
      <c r="AG6" s="55" t="n">
        <v>0.2</v>
      </c>
      <c r="AH6" s="55" t="n">
        <v>-40</v>
      </c>
      <c r="AI6" s="57" t="inlineStr">
        <is>
          <t>Yellow</t>
        </is>
      </c>
      <c r="AJ6" s="2">
        <f>CONCATENATE(AG6,AH6,AI6)</f>
        <v/>
      </c>
      <c r="AK6" s="55" t="n">
        <v>270</v>
      </c>
      <c r="AQ6" s="55" t="n">
        <v>0.2</v>
      </c>
      <c r="AR6" s="55" t="n">
        <v>-40</v>
      </c>
      <c r="AS6" s="55" t="n">
        <v>360</v>
      </c>
      <c r="AT6" s="55" t="n">
        <v>270</v>
      </c>
      <c r="AU6" s="55" t="n">
        <v>145</v>
      </c>
      <c r="AV6" s="55" t="n">
        <v>50</v>
      </c>
      <c r="AW6" s="55" t="n">
        <v>65</v>
      </c>
      <c r="AX6" s="55" t="n">
        <v>30</v>
      </c>
      <c r="AY6" s="55" t="n">
        <v>18</v>
      </c>
    </row>
    <row r="7" ht="21" customHeight="1">
      <c r="S7" s="34" t="inlineStr">
        <is>
          <t>Road sign with 80% visibility</t>
        </is>
      </c>
      <c r="T7" s="34" t="inlineStr">
        <is>
          <t>Road sign with 5% fading  and or minor misaligned</t>
        </is>
      </c>
      <c r="U7" s="21" t="n">
        <v>40</v>
      </c>
      <c r="V7" s="21" t="n">
        <v>40</v>
      </c>
      <c r="W7" s="21">
        <f>U7+V7</f>
        <v/>
      </c>
      <c r="X7" s="20" t="inlineStr">
        <is>
          <t>GOOD</t>
        </is>
      </c>
      <c r="Z7" s="2" t="inlineStr">
        <is>
          <t xml:space="preserve">Post Misaligned Minor 2% and or any other minor deterioration 2% </t>
        </is>
      </c>
      <c r="AA7" s="2" t="inlineStr">
        <is>
          <t xml:space="preserve">Minor Paint faded or Peeled off 2% </t>
        </is>
      </c>
      <c r="AB7" s="8" t="n">
        <v>64</v>
      </c>
      <c r="AC7" s="8" t="n">
        <v>16</v>
      </c>
      <c r="AD7" s="8">
        <f>AB7+AC7</f>
        <v/>
      </c>
      <c r="AE7" s="10" t="inlineStr">
        <is>
          <t>GOOD</t>
        </is>
      </c>
      <c r="AG7" s="55" t="n">
        <v>0.2</v>
      </c>
      <c r="AH7" s="55" t="n">
        <v>-40</v>
      </c>
      <c r="AI7" s="57" t="inlineStr">
        <is>
          <t>Orange</t>
        </is>
      </c>
      <c r="AJ7" s="2">
        <f>CONCATENATE(AG7,AH7,AI7)</f>
        <v/>
      </c>
      <c r="AK7" s="55" t="n">
        <v>145</v>
      </c>
      <c r="AQ7" s="55" t="n">
        <v>0.2</v>
      </c>
      <c r="AR7" s="55" t="n">
        <v>300</v>
      </c>
      <c r="AS7" s="55" t="n">
        <v>170</v>
      </c>
      <c r="AT7" s="55" t="n">
        <v>135</v>
      </c>
      <c r="AU7" s="55" t="n">
        <v>68</v>
      </c>
      <c r="AV7" s="55" t="n">
        <v>25</v>
      </c>
      <c r="AW7" s="55" t="n">
        <v>30</v>
      </c>
      <c r="AX7" s="55" t="n">
        <v>14</v>
      </c>
      <c r="AY7" s="55" t="n">
        <v>8.5</v>
      </c>
    </row>
    <row r="8" ht="21" customHeight="1">
      <c r="A8" s="93" t="inlineStr">
        <is>
          <t>If Retroreflectivity (RL) Data is Not Available</t>
        </is>
      </c>
      <c r="B8" s="100" t="n"/>
      <c r="C8" s="100" t="n"/>
      <c r="D8" s="100" t="n"/>
      <c r="S8" s="34" t="inlineStr">
        <is>
          <t>Road sign with 70% visibility</t>
        </is>
      </c>
      <c r="T8" s="34" t="inlineStr">
        <is>
          <t>Road sign with 10% fading</t>
        </is>
      </c>
      <c r="U8" s="21" t="n">
        <v>35</v>
      </c>
      <c r="V8" s="21" t="n">
        <v>35</v>
      </c>
      <c r="W8" s="21">
        <f>U8+V8</f>
        <v/>
      </c>
      <c r="X8" s="20" t="inlineStr">
        <is>
          <t>FAIR</t>
        </is>
      </c>
      <c r="Z8" s="2" t="inlineStr">
        <is>
          <t xml:space="preserve">Post Misaligned 5% and or any other deterioration 5% </t>
        </is>
      </c>
      <c r="AA8" s="2" t="inlineStr">
        <is>
          <t xml:space="preserve">Paint faded or Peeled off 5% </t>
        </is>
      </c>
      <c r="AB8" s="8" t="n">
        <v>56</v>
      </c>
      <c r="AC8" s="8" t="n">
        <v>14</v>
      </c>
      <c r="AD8" s="8">
        <f>AB8+AC8</f>
        <v/>
      </c>
      <c r="AE8" s="10" t="inlineStr">
        <is>
          <t>FAIR</t>
        </is>
      </c>
      <c r="AG8" s="55" t="n">
        <v>0.2</v>
      </c>
      <c r="AH8" s="55" t="n">
        <v>-40</v>
      </c>
      <c r="AI8" s="57" t="inlineStr">
        <is>
          <t>Green</t>
        </is>
      </c>
      <c r="AJ8" s="2">
        <f>CONCATENATE(AG8,AH8,AI8)</f>
        <v/>
      </c>
      <c r="AK8" s="55" t="n">
        <v>50</v>
      </c>
      <c r="AQ8" s="55" t="n">
        <v>0.5</v>
      </c>
      <c r="AR8" s="55" t="n">
        <v>-40</v>
      </c>
      <c r="AS8" s="55" t="n">
        <v>150</v>
      </c>
      <c r="AT8" s="55" t="n">
        <v>110</v>
      </c>
      <c r="AU8" s="55" t="n">
        <v>60</v>
      </c>
      <c r="AV8" s="55" t="n">
        <v>21</v>
      </c>
      <c r="AW8" s="55" t="n">
        <v>27</v>
      </c>
      <c r="AX8" s="55" t="n">
        <v>13</v>
      </c>
      <c r="AY8" s="55" t="n">
        <v>7.5</v>
      </c>
    </row>
    <row r="9" ht="21" customHeight="1">
      <c r="A9" s="84" t="inlineStr">
        <is>
          <t>Select Visibility Defect</t>
        </is>
      </c>
      <c r="B9" s="84" t="inlineStr">
        <is>
          <t>Select Presence Defects</t>
        </is>
      </c>
      <c r="C9" s="59" t="n"/>
      <c r="D9" s="59" t="n"/>
      <c r="E9" s="59" t="n"/>
      <c r="S9" s="34" t="inlineStr">
        <is>
          <t>Road sign with 60% visibility</t>
        </is>
      </c>
      <c r="T9" s="34" t="inlineStr">
        <is>
          <t>Road sign with 20% fading</t>
        </is>
      </c>
      <c r="U9" s="21" t="n">
        <v>30</v>
      </c>
      <c r="V9" s="21" t="n">
        <v>30</v>
      </c>
      <c r="W9" s="21">
        <f>U9+V9</f>
        <v/>
      </c>
      <c r="X9" s="20" t="inlineStr">
        <is>
          <t>FAIR</t>
        </is>
      </c>
      <c r="Z9" s="2" t="inlineStr">
        <is>
          <t xml:space="preserve">Post Misaligned 7% and or any other deterioration 7% </t>
        </is>
      </c>
      <c r="AA9" s="2" t="inlineStr">
        <is>
          <t>Paint faded or Peeled off 10% with rusting</t>
        </is>
      </c>
      <c r="AB9" s="8" t="n">
        <v>48</v>
      </c>
      <c r="AC9" s="8" t="n">
        <v>12</v>
      </c>
      <c r="AD9" s="8">
        <f>AB9+AC9</f>
        <v/>
      </c>
      <c r="AE9" s="10" t="inlineStr">
        <is>
          <t>FAIR</t>
        </is>
      </c>
      <c r="AG9" s="55" t="n">
        <v>0.2</v>
      </c>
      <c r="AH9" s="55" t="n">
        <v>-40</v>
      </c>
      <c r="AI9" s="57" t="inlineStr">
        <is>
          <t>Red</t>
        </is>
      </c>
      <c r="AJ9" s="2">
        <f>CONCATENATE(AG9,AH9,AI9)</f>
        <v/>
      </c>
      <c r="AK9" s="55" t="n">
        <v>65</v>
      </c>
      <c r="AQ9" s="55" t="n">
        <v>0.5</v>
      </c>
      <c r="AR9" s="55" t="n">
        <v>300</v>
      </c>
      <c r="AS9" s="55" t="n">
        <v>72</v>
      </c>
      <c r="AT9" s="55" t="n">
        <v>54</v>
      </c>
      <c r="AU9" s="55" t="n">
        <v>28</v>
      </c>
      <c r="AV9" s="55" t="n">
        <v>10</v>
      </c>
      <c r="AW9" s="55" t="n">
        <v>13</v>
      </c>
      <c r="AX9" s="55" t="n">
        <v>6</v>
      </c>
      <c r="AY9" s="55" t="n">
        <v>3.5</v>
      </c>
    </row>
    <row r="10" ht="30" customHeight="1">
      <c r="A10" s="90" t="inlineStr">
        <is>
          <t>Road sign with 40% visibility</t>
        </is>
      </c>
      <c r="B10" s="8" t="inlineStr">
        <is>
          <t>Road sign with 20% fading</t>
        </is>
      </c>
      <c r="C10" s="7" t="n"/>
      <c r="D10" s="42" t="n"/>
      <c r="E10" s="42" t="n"/>
      <c r="S10" s="34" t="inlineStr">
        <is>
          <t>Road sign with 50% visibility</t>
        </is>
      </c>
      <c r="T10" s="34" t="inlineStr">
        <is>
          <t>Road sign with 25% fading and or face obscured by trees 25% or face deterioration 25%</t>
        </is>
      </c>
      <c r="U10" s="21" t="n">
        <v>25</v>
      </c>
      <c r="V10" s="21" t="n">
        <v>25</v>
      </c>
      <c r="W10" s="21">
        <f>U10+V10</f>
        <v/>
      </c>
      <c r="X10" s="20" t="inlineStr">
        <is>
          <t>FAIR</t>
        </is>
      </c>
      <c r="Z10" s="2" t="inlineStr">
        <is>
          <t xml:space="preserve">Post Misaligned 10% and or any other deterioration 10% </t>
        </is>
      </c>
      <c r="AA10" s="2" t="inlineStr">
        <is>
          <t>Paint faded or Peeled off 15% with rusting</t>
        </is>
      </c>
      <c r="AB10" s="8" t="n">
        <v>40</v>
      </c>
      <c r="AC10" s="8" t="n">
        <v>10</v>
      </c>
      <c r="AD10" s="8">
        <f>AB10+AC10</f>
        <v/>
      </c>
      <c r="AE10" s="10" t="inlineStr">
        <is>
          <t>FAIR</t>
        </is>
      </c>
      <c r="AG10" s="55" t="n">
        <v>0.2</v>
      </c>
      <c r="AH10" s="55" t="n">
        <v>-40</v>
      </c>
      <c r="AI10" s="57" t="inlineStr">
        <is>
          <t>Blue</t>
        </is>
      </c>
      <c r="AJ10" s="2">
        <f>CONCATENATE(AG10,AH10,AI10)</f>
        <v/>
      </c>
      <c r="AK10" s="55" t="n">
        <v>30</v>
      </c>
    </row>
    <row r="11" ht="21" customHeight="1">
      <c r="G11" s="39" t="inlineStr">
        <is>
          <t>V</t>
        </is>
      </c>
      <c r="H11" s="39" t="inlineStr">
        <is>
          <t>P</t>
        </is>
      </c>
      <c r="S11" s="34" t="inlineStr">
        <is>
          <t>Road sign with 40% visibility</t>
        </is>
      </c>
      <c r="T11" s="34" t="inlineStr">
        <is>
          <t>Road sign with 30% fading and or missing components</t>
        </is>
      </c>
      <c r="U11" s="21" t="n">
        <v>20</v>
      </c>
      <c r="V11" s="21" t="n">
        <v>20</v>
      </c>
      <c r="W11" s="21">
        <f>U11+V11</f>
        <v/>
      </c>
      <c r="X11" s="20" t="inlineStr">
        <is>
          <t>POOR</t>
        </is>
      </c>
      <c r="Z11" s="2" t="inlineStr">
        <is>
          <t xml:space="preserve">Post Misaligned 20% and or any other deterioration 20% </t>
        </is>
      </c>
      <c r="AA11" s="2" t="inlineStr">
        <is>
          <t>Paint faded or Peeled off 20%  with rusting</t>
        </is>
      </c>
      <c r="AB11" s="8" t="n">
        <v>32</v>
      </c>
      <c r="AC11" s="8" t="n">
        <v>8</v>
      </c>
      <c r="AD11" s="8">
        <f>AB11+AC11</f>
        <v/>
      </c>
      <c r="AE11" s="10" t="inlineStr">
        <is>
          <t>POOR</t>
        </is>
      </c>
      <c r="AG11" s="55" t="n">
        <v>0.2</v>
      </c>
      <c r="AH11" s="55" t="n">
        <v>-40</v>
      </c>
      <c r="AI11" s="57" t="inlineStr">
        <is>
          <t>Brown</t>
        </is>
      </c>
      <c r="AJ11" s="2">
        <f>CONCATENATE(AG11,AH11,AI11)</f>
        <v/>
      </c>
      <c r="AK11" s="55" t="n">
        <v>18</v>
      </c>
    </row>
    <row r="12" ht="21" customHeight="1">
      <c r="A12" s="71" t="inlineStr">
        <is>
          <t>(ACI-RS-F) Value</t>
        </is>
      </c>
      <c r="B12" s="72">
        <f>IF(NOT(ISBLANK(D6)), IF(G6=0, 0, G6+H6), IF(G12=0, 0, G12+H12))</f>
        <v/>
      </c>
      <c r="G12" s="7">
        <f>VLOOKUP(A10, S5:U15, 3, FALSE)</f>
        <v/>
      </c>
      <c r="H12" s="7">
        <f>VLOOKUP(B10, T5:V15, 3, FALSE)</f>
        <v/>
      </c>
      <c r="S12" s="34" t="inlineStr">
        <is>
          <t>Road sign with 30% visibility</t>
        </is>
      </c>
      <c r="T12" s="34" t="inlineStr">
        <is>
          <t>Road sign with 35% fading and or damaged road sign 35%</t>
        </is>
      </c>
      <c r="U12" s="21" t="n">
        <v>15</v>
      </c>
      <c r="V12" s="21" t="n">
        <v>15</v>
      </c>
      <c r="W12" s="21">
        <f>U12+V12</f>
        <v/>
      </c>
      <c r="X12" s="20" t="inlineStr">
        <is>
          <t>POOR</t>
        </is>
      </c>
      <c r="Z12" s="2" t="inlineStr">
        <is>
          <t xml:space="preserve">Post Misaligned 25% and or any other deterioration 25% </t>
        </is>
      </c>
      <c r="AA12" s="2" t="inlineStr">
        <is>
          <t>Paint faded or Peeled off 25% with rusting</t>
        </is>
      </c>
      <c r="AB12" s="8" t="n">
        <v>24</v>
      </c>
      <c r="AC12" s="8" t="n">
        <v>6</v>
      </c>
      <c r="AD12" s="8">
        <f>AB12+AC12</f>
        <v/>
      </c>
      <c r="AE12" s="10" t="inlineStr">
        <is>
          <t>POOR</t>
        </is>
      </c>
      <c r="AG12" s="55" t="n">
        <v>0.2</v>
      </c>
      <c r="AH12" s="55" t="n">
        <v>300</v>
      </c>
      <c r="AI12" s="57" t="inlineStr">
        <is>
          <t>White</t>
        </is>
      </c>
      <c r="AJ12" s="2">
        <f>CONCATENATE(AG12,AH12,AI12)</f>
        <v/>
      </c>
      <c r="AK12" s="55" t="n">
        <v>170</v>
      </c>
    </row>
    <row r="13" ht="21" customHeight="1">
      <c r="A13" s="71" t="inlineStr">
        <is>
          <t>(ACI-RS-F) Condition</t>
        </is>
      </c>
      <c r="B13" s="72">
        <f>IF(AND(B12&gt;=80, B12&lt;=100), "GOOD", IF(AND(B12&gt;40, B12&lt;80), "FAIR", "POOR"))</f>
        <v/>
      </c>
      <c r="S13" s="34" t="inlineStr">
        <is>
          <t>Road sign with 20% visibility</t>
        </is>
      </c>
      <c r="T13" s="34" t="inlineStr">
        <is>
          <t>Road sign with 40% fading and or damaged road sign 40%</t>
        </is>
      </c>
      <c r="U13" s="21" t="n">
        <v>10</v>
      </c>
      <c r="V13" s="21" t="n">
        <v>10</v>
      </c>
      <c r="W13" s="21">
        <f>U13+V13</f>
        <v/>
      </c>
      <c r="X13" s="20" t="inlineStr">
        <is>
          <t>POOR</t>
        </is>
      </c>
      <c r="Z13" s="2" t="inlineStr">
        <is>
          <t xml:space="preserve">Post Misaligned 30% and or any other deterioration 30% </t>
        </is>
      </c>
      <c r="AA13" s="2" t="inlineStr">
        <is>
          <t>Paint faded or Peeled off 30% with rusting</t>
        </is>
      </c>
      <c r="AB13" s="8" t="n">
        <v>16</v>
      </c>
      <c r="AC13" s="8" t="n">
        <v>4</v>
      </c>
      <c r="AD13" s="8">
        <f>AB13+AC13</f>
        <v/>
      </c>
      <c r="AE13" s="10" t="inlineStr">
        <is>
          <t>POOR</t>
        </is>
      </c>
      <c r="AG13" s="55" t="n">
        <v>0.2</v>
      </c>
      <c r="AH13" s="55" t="n">
        <v>300</v>
      </c>
      <c r="AI13" s="57" t="inlineStr">
        <is>
          <t>Yellow</t>
        </is>
      </c>
      <c r="AJ13" s="2">
        <f>CONCATENATE(AG13,AH13,AI13)</f>
        <v/>
      </c>
      <c r="AK13" s="55" t="n">
        <v>135</v>
      </c>
    </row>
    <row r="14" ht="21" customHeight="1">
      <c r="S14" s="34" t="inlineStr">
        <is>
          <t>Road sign with 10% visibility</t>
        </is>
      </c>
      <c r="T14" s="34" t="inlineStr">
        <is>
          <t>Road sign with 50% fading and or face damaded 50%</t>
        </is>
      </c>
      <c r="U14" s="21" t="n">
        <v>5</v>
      </c>
      <c r="V14" s="21" t="n">
        <v>5</v>
      </c>
      <c r="W14" s="21">
        <f>U14+V14</f>
        <v/>
      </c>
      <c r="X14" s="20" t="inlineStr">
        <is>
          <t>POOR</t>
        </is>
      </c>
      <c r="Z14" s="2" t="inlineStr">
        <is>
          <t>Post Misaligned 35% and or any other deterioration 35%</t>
        </is>
      </c>
      <c r="AA14" s="2" t="inlineStr">
        <is>
          <t>Paint faded or Peeled off 40% with rusting</t>
        </is>
      </c>
      <c r="AB14" s="8" t="n">
        <v>8</v>
      </c>
      <c r="AC14" s="8" t="n">
        <v>2</v>
      </c>
      <c r="AD14" s="8">
        <f>AB14+AC14</f>
        <v/>
      </c>
      <c r="AE14" s="10" t="inlineStr">
        <is>
          <t>POOR</t>
        </is>
      </c>
      <c r="AG14" s="55" t="n">
        <v>0.2</v>
      </c>
      <c r="AH14" s="55" t="n">
        <v>300</v>
      </c>
      <c r="AI14" s="57" t="inlineStr">
        <is>
          <t>Orange</t>
        </is>
      </c>
      <c r="AJ14" s="2">
        <f>CONCATENATE(AG14,AH14,AI14)</f>
        <v/>
      </c>
      <c r="AK14" s="55" t="n">
        <v>68</v>
      </c>
    </row>
    <row r="15" ht="21" customHeight="1">
      <c r="S15" s="34" t="inlineStr">
        <is>
          <t>Road sign with visibility less than 10%</t>
        </is>
      </c>
      <c r="T15" s="34" t="inlineStr">
        <is>
          <t>Road sign barely visible or severely damaged</t>
        </is>
      </c>
      <c r="U15" s="21" t="n">
        <v>0</v>
      </c>
      <c r="V15" s="21" t="n">
        <v>0</v>
      </c>
      <c r="W15" s="21">
        <f>U15+V15</f>
        <v/>
      </c>
      <c r="X15" s="20" t="inlineStr">
        <is>
          <t>POOR</t>
        </is>
      </c>
      <c r="Z15" s="2" t="inlineStr">
        <is>
          <t>Post Misaligned or damaged completely</t>
        </is>
      </c>
      <c r="AA15" s="2" t="inlineStr">
        <is>
          <t>Paint faded or Peeled off more than 40% with rusting</t>
        </is>
      </c>
      <c r="AB15" s="8" t="n">
        <v>0</v>
      </c>
      <c r="AC15" s="8" t="n">
        <v>0</v>
      </c>
      <c r="AD15" s="8">
        <f>AB15+AC15</f>
        <v/>
      </c>
      <c r="AE15" s="10" t="inlineStr">
        <is>
          <t>POOR</t>
        </is>
      </c>
      <c r="AG15" s="55" t="n">
        <v>0.2</v>
      </c>
      <c r="AH15" s="55" t="n">
        <v>300</v>
      </c>
      <c r="AI15" s="57" t="inlineStr">
        <is>
          <t>Green</t>
        </is>
      </c>
      <c r="AJ15" s="2">
        <f>CONCATENATE(AG15,AH15,AI15)</f>
        <v/>
      </c>
      <c r="AK15" s="55" t="n">
        <v>25</v>
      </c>
    </row>
    <row r="16" ht="21" customHeight="1">
      <c r="A16" s="81" t="inlineStr">
        <is>
          <t>B. Road Sign Pole Condition (ACI-RS-P)</t>
        </is>
      </c>
      <c r="S16" s="69" t="n"/>
      <c r="T16" s="69" t="n"/>
      <c r="U16" s="14" t="n"/>
      <c r="V16" s="14" t="n"/>
      <c r="W16" s="14" t="n"/>
      <c r="X16" s="14" t="n"/>
      <c r="AG16" s="55" t="n">
        <v>0.2</v>
      </c>
      <c r="AH16" s="55" t="n">
        <v>300</v>
      </c>
      <c r="AI16" s="57" t="inlineStr">
        <is>
          <t>Red</t>
        </is>
      </c>
      <c r="AJ16" s="2">
        <f>CONCATENATE(AG16,AH16,AI16)</f>
        <v/>
      </c>
      <c r="AK16" s="55" t="n">
        <v>30</v>
      </c>
    </row>
    <row r="17" ht="21" customHeight="1">
      <c r="G17" s="63" t="n"/>
      <c r="H17" s="63" t="n"/>
      <c r="AG17" s="55" t="n">
        <v>0.2</v>
      </c>
      <c r="AH17" s="55" t="n">
        <v>300</v>
      </c>
      <c r="AI17" s="57" t="inlineStr">
        <is>
          <t>Blue</t>
        </is>
      </c>
      <c r="AJ17" s="2">
        <f>CONCATENATE(AG17,AH17,AI17)</f>
        <v/>
      </c>
      <c r="AK17" s="55" t="n">
        <v>14</v>
      </c>
    </row>
    <row r="18" ht="30" customHeight="1">
      <c r="A18" s="84" t="inlineStr">
        <is>
          <t>Select Functional Defects</t>
        </is>
      </c>
      <c r="B18" s="84" t="inlineStr">
        <is>
          <t>Select Appearance Defects</t>
        </is>
      </c>
      <c r="C18" s="59" t="n"/>
      <c r="D18" s="59" t="n"/>
      <c r="G18" s="7" t="n"/>
      <c r="H18" s="7" t="n"/>
      <c r="S18" s="59" t="n"/>
      <c r="T18" s="59" t="n"/>
      <c r="U18" s="59" t="n"/>
      <c r="V18" s="59" t="n"/>
      <c r="AG18" s="55" t="n">
        <v>0.2</v>
      </c>
      <c r="AH18" s="55" t="n">
        <v>300</v>
      </c>
      <c r="AI18" s="57" t="inlineStr">
        <is>
          <t>Brown</t>
        </is>
      </c>
      <c r="AJ18" s="2">
        <f>CONCATENATE(AG18,AH18,AI18)</f>
        <v/>
      </c>
      <c r="AK18" s="55" t="n">
        <v>8.5</v>
      </c>
    </row>
    <row r="19" ht="30" customHeight="1">
      <c r="A19" s="90" t="inlineStr">
        <is>
          <t xml:space="preserve">Post Misaligned 5% and or any other deterioration 5% </t>
        </is>
      </c>
      <c r="B19" s="90" t="inlineStr">
        <is>
          <t>Paint faded or Peeled off 20%  with rusting</t>
        </is>
      </c>
      <c r="C19" s="59" t="n"/>
      <c r="D19" s="59" t="n"/>
      <c r="G19" s="39" t="inlineStr">
        <is>
          <t>F</t>
        </is>
      </c>
      <c r="H19" s="39" t="inlineStr">
        <is>
          <t>A</t>
        </is>
      </c>
      <c r="AG19" s="55" t="n">
        <v>0.5</v>
      </c>
      <c r="AH19" s="55" t="n">
        <v>-40</v>
      </c>
      <c r="AI19" s="57" t="inlineStr">
        <is>
          <t>White</t>
        </is>
      </c>
      <c r="AJ19" s="2">
        <f>CONCATENATE(AG19,AH19,AI19)</f>
        <v/>
      </c>
      <c r="AK19" s="55" t="n">
        <v>150</v>
      </c>
    </row>
    <row r="20" ht="21" customHeight="1">
      <c r="C20" s="42" t="n"/>
      <c r="D20" s="42" t="n"/>
      <c r="G20" s="7">
        <f>VLOOKUP(A19, Z5:AB15, 3, FALSE)</f>
        <v/>
      </c>
      <c r="H20" s="7">
        <f>VLOOKUP(B19, AA5:AC15, 3, FALSE)</f>
        <v/>
      </c>
      <c r="AG20" s="55" t="n">
        <v>0.5</v>
      </c>
      <c r="AH20" s="55" t="n">
        <v>-40</v>
      </c>
      <c r="AI20" s="57" t="inlineStr">
        <is>
          <t>Yellow</t>
        </is>
      </c>
      <c r="AJ20" s="2">
        <f>CONCATENATE(AG20,AH20,AI20)</f>
        <v/>
      </c>
      <c r="AK20" s="55" t="n">
        <v>110</v>
      </c>
    </row>
    <row r="21" ht="21" customHeight="1">
      <c r="A21" s="74" t="inlineStr">
        <is>
          <t>(ACI-RG-P) Value</t>
        </is>
      </c>
      <c r="B21" s="74">
        <f>IF(G20=0, 0, G20+H20)</f>
        <v/>
      </c>
      <c r="AG21" s="55" t="n">
        <v>0.5</v>
      </c>
      <c r="AH21" s="55" t="n">
        <v>-40</v>
      </c>
      <c r="AI21" s="57" t="inlineStr">
        <is>
          <t>Orange</t>
        </is>
      </c>
      <c r="AJ21" s="2">
        <f>CONCATENATE(AG21,AH21,AI21)</f>
        <v/>
      </c>
      <c r="AK21" s="55" t="n">
        <v>60</v>
      </c>
    </row>
    <row r="22" ht="21" customHeight="1">
      <c r="A22" s="74" t="inlineStr">
        <is>
          <t>(ACI-RG-P) Condition</t>
        </is>
      </c>
      <c r="B22" s="74">
        <f>IF(AND(B21&gt;=80, B21&lt;=100), "GOOD", IF(AND(B21&gt;40, B21&lt;80), "FAIR", "POOR"))</f>
        <v/>
      </c>
      <c r="AG22" s="55" t="n">
        <v>0.5</v>
      </c>
      <c r="AH22" s="55" t="n">
        <v>-40</v>
      </c>
      <c r="AI22" s="57" t="inlineStr">
        <is>
          <t>Green</t>
        </is>
      </c>
      <c r="AJ22" s="2">
        <f>CONCATENATE(AG22,AH22,AI22)</f>
        <v/>
      </c>
      <c r="AK22" s="55" t="n">
        <v>21</v>
      </c>
    </row>
    <row r="23" ht="21" customHeight="1">
      <c r="AG23" s="55" t="n">
        <v>0.5</v>
      </c>
      <c r="AH23" s="55" t="n">
        <v>-40</v>
      </c>
      <c r="AI23" s="57" t="inlineStr">
        <is>
          <t>Red</t>
        </is>
      </c>
      <c r="AJ23" s="2">
        <f>CONCATENATE(AG23,AH23,AI23)</f>
        <v/>
      </c>
      <c r="AK23" s="55" t="n">
        <v>27</v>
      </c>
    </row>
    <row r="24" ht="21" customHeight="1">
      <c r="AG24" s="55" t="n">
        <v>0.5</v>
      </c>
      <c r="AH24" s="55" t="n">
        <v>-40</v>
      </c>
      <c r="AI24" s="57" t="inlineStr">
        <is>
          <t>Blue</t>
        </is>
      </c>
      <c r="AJ24" s="2">
        <f>CONCATENATE(AG24,AH24,AI24)</f>
        <v/>
      </c>
      <c r="AK24" s="55" t="n">
        <v>13</v>
      </c>
    </row>
    <row r="25" ht="21" customHeight="1">
      <c r="A25" s="73" t="inlineStr">
        <is>
          <t>(ACI-RG) Value</t>
        </is>
      </c>
      <c r="B25" s="73">
        <f>ROUND(0.9*B12+0.1*B21, 0)</f>
        <v/>
      </c>
      <c r="AG25" s="55" t="n">
        <v>0.5</v>
      </c>
      <c r="AH25" s="55" t="n">
        <v>-40</v>
      </c>
      <c r="AI25" s="57" t="inlineStr">
        <is>
          <t>Brown</t>
        </is>
      </c>
      <c r="AJ25" s="2">
        <f>CONCATENATE(AG25,AH25,AI25)</f>
        <v/>
      </c>
      <c r="AK25" s="55" t="n">
        <v>7.5</v>
      </c>
    </row>
    <row r="26" ht="21" customHeight="1">
      <c r="A26" s="73" t="inlineStr">
        <is>
          <t>(ACI-RG) Condition</t>
        </is>
      </c>
      <c r="B26" s="73">
        <f>IF(AND(B25&gt;=80, B25&lt;=100), "GOOD", IF(AND(B25&gt;40, B25&lt;80), "FAIR", "POOR"))</f>
        <v/>
      </c>
      <c r="AG26" s="55" t="n">
        <v>0.5</v>
      </c>
      <c r="AH26" s="55" t="n">
        <v>300</v>
      </c>
      <c r="AI26" s="57" t="inlineStr">
        <is>
          <t>White</t>
        </is>
      </c>
      <c r="AJ26" s="2">
        <f>CONCATENATE(AG26,AH26,AI26)</f>
        <v/>
      </c>
      <c r="AK26" s="55" t="n">
        <v>72</v>
      </c>
    </row>
    <row r="27" ht="21" customHeight="1">
      <c r="AG27" s="55" t="n">
        <v>0.5</v>
      </c>
      <c r="AH27" s="55" t="n">
        <v>300</v>
      </c>
      <c r="AI27" s="57" t="inlineStr">
        <is>
          <t>Yellow</t>
        </is>
      </c>
      <c r="AJ27" s="2">
        <f>CONCATENATE(AG27,AH27,AI27)</f>
        <v/>
      </c>
      <c r="AK27" s="55" t="n">
        <v>54</v>
      </c>
    </row>
    <row r="28" ht="21" customHeight="1">
      <c r="AG28" s="55" t="n">
        <v>0.5</v>
      </c>
      <c r="AH28" s="55" t="n">
        <v>300</v>
      </c>
      <c r="AI28" s="57" t="inlineStr">
        <is>
          <t>Orange</t>
        </is>
      </c>
      <c r="AJ28" s="2">
        <f>CONCATENATE(AG28,AH28,AI28)</f>
        <v/>
      </c>
      <c r="AK28" s="55" t="n">
        <v>28</v>
      </c>
    </row>
    <row r="29" ht="21" customHeight="1">
      <c r="AG29" s="55" t="n">
        <v>0.5</v>
      </c>
      <c r="AH29" s="55" t="n">
        <v>300</v>
      </c>
      <c r="AI29" s="57" t="inlineStr">
        <is>
          <t>Green</t>
        </is>
      </c>
      <c r="AJ29" s="2">
        <f>CONCATENATE(AG29,AH29,AI29)</f>
        <v/>
      </c>
      <c r="AK29" s="55" t="n">
        <v>10</v>
      </c>
    </row>
    <row r="30" ht="21" customHeight="1">
      <c r="AG30" s="55" t="n">
        <v>0.5</v>
      </c>
      <c r="AH30" s="55" t="n">
        <v>300</v>
      </c>
      <c r="AI30" s="57" t="inlineStr">
        <is>
          <t>Red</t>
        </is>
      </c>
      <c r="AJ30" s="2">
        <f>CONCATENATE(AG30,AH30,AI30)</f>
        <v/>
      </c>
      <c r="AK30" s="55" t="n">
        <v>13</v>
      </c>
    </row>
    <row r="31" ht="21" customHeight="1">
      <c r="AG31" s="55" t="n">
        <v>0.5</v>
      </c>
      <c r="AH31" s="55" t="n">
        <v>300</v>
      </c>
      <c r="AI31" s="57" t="inlineStr">
        <is>
          <t>Blue</t>
        </is>
      </c>
      <c r="AJ31" s="2">
        <f>CONCATENATE(AG31,AH31,AI31)</f>
        <v/>
      </c>
      <c r="AK31" s="55" t="n">
        <v>6</v>
      </c>
    </row>
    <row r="32" ht="21" customHeight="1">
      <c r="AG32" s="55" t="n">
        <v>0.5</v>
      </c>
      <c r="AH32" s="55" t="n">
        <v>300</v>
      </c>
      <c r="AI32" s="57" t="inlineStr">
        <is>
          <t>Brown</t>
        </is>
      </c>
      <c r="AJ32" s="2">
        <f>CONCATENATE(AG32,AH32,AI32)</f>
        <v/>
      </c>
      <c r="AK32" s="55" t="n">
        <v>3.5</v>
      </c>
    </row>
  </sheetData>
  <autoFilter ref="Z4:AE15"/>
  <mergeCells count="5">
    <mergeCell ref="A1:D1"/>
    <mergeCell ref="A8:D8"/>
    <mergeCell ref="A16:E16"/>
    <mergeCell ref="A4:D4"/>
    <mergeCell ref="A3:E3"/>
  </mergeCells>
  <dataValidations disablePrompts="1" count="11">
    <dataValidation sqref="T23" showDropDown="0" showInputMessage="1" showErrorMessage="1" allowBlank="1" type="list">
      <formula1>$S$6:$S$16</formula1>
    </dataValidation>
    <dataValidation sqref="C20" showDropDown="0" showInputMessage="1" showErrorMessage="1" allowBlank="1" type="list">
      <formula1>$M$3:$M$14</formula1>
    </dataValidation>
    <dataValidation sqref="B19" showDropDown="0" showInputMessage="1" showErrorMessage="1" allowBlank="1" type="list">
      <formula1>$AA$5:$AA$15</formula1>
    </dataValidation>
    <dataValidation sqref="A19" showDropDown="0" showInputMessage="1" showErrorMessage="1" allowBlank="1" type="list">
      <formula1>$Z$5:$Z$15</formula1>
    </dataValidation>
    <dataValidation sqref="D20 E10" showDropDown="0" showInputMessage="1" showErrorMessage="1" allowBlank="1" type="list">
      <formula1>$N$3:$N$14</formula1>
    </dataValidation>
    <dataValidation sqref="C10" showDropDown="0" showInputMessage="1" showErrorMessage="1" allowBlank="1" type="list">
      <formula1>$Y$2:$Y$29</formula1>
    </dataValidation>
    <dataValidation sqref="A10" showDropDown="0" showInputMessage="1" showErrorMessage="1" allowBlank="1" type="list">
      <formula1>$S$5:$S$15</formula1>
    </dataValidation>
    <dataValidation sqref="B10 E6" showDropDown="0" showInputMessage="1" showErrorMessage="1" allowBlank="1" type="list">
      <formula1>$T$5:$T$15</formula1>
    </dataValidation>
    <dataValidation sqref="A6" showDropDown="0" showInputMessage="1" showErrorMessage="1" allowBlank="1" type="list">
      <formula1>$AG$5:$AG$32</formula1>
    </dataValidation>
    <dataValidation sqref="B6" showDropDown="0" showInputMessage="1" showErrorMessage="1" allowBlank="1" type="list">
      <formula1>$AH$5:$AH$32</formula1>
    </dataValidation>
    <dataValidation sqref="C6" showDropDown="0" showInputMessage="1" showErrorMessage="1" allowBlank="1" type="list">
      <formula1>$AI$5:$AI$32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FF92D050"/>
    <outlinePr summaryBelow="1" summaryRight="1"/>
    <pageSetUpPr/>
  </sheetPr>
  <dimension ref="A1:M12"/>
  <sheetViews>
    <sheetView workbookViewId="0">
      <selection activeCell="E19" sqref="E19"/>
    </sheetView>
  </sheetViews>
  <sheetFormatPr baseColWidth="8" defaultRowHeight="15"/>
  <cols>
    <col width="55" customWidth="1" min="1" max="1"/>
    <col width="26.42578125" customWidth="1" min="2" max="2"/>
    <col width="141.5703125" bestFit="1" customWidth="1" min="8" max="8"/>
    <col width="22" bestFit="1" customWidth="1" min="9" max="9"/>
    <col width="19.28515625" bestFit="1" customWidth="1" min="10" max="10"/>
    <col width="21" bestFit="1" customWidth="1" min="11" max="11"/>
    <col width="10.140625" bestFit="1" customWidth="1" min="12" max="12"/>
    <col width="10.28515625" bestFit="1" customWidth="1" min="13" max="13"/>
  </cols>
  <sheetData>
    <row r="1" ht="24" customHeight="1">
      <c r="A1" s="78" t="inlineStr">
        <is>
          <t>Wooden Deck Asset Condition Index Calculator (ACI-WD)</t>
        </is>
      </c>
      <c r="H1" s="87" t="inlineStr">
        <is>
          <t>Functionality Defects</t>
        </is>
      </c>
      <c r="I1" s="87" t="inlineStr">
        <is>
          <t>Appearance Defects</t>
        </is>
      </c>
      <c r="J1" s="87" t="inlineStr">
        <is>
          <t>Structural Rating (S)</t>
        </is>
      </c>
      <c r="K1" s="87" t="inlineStr">
        <is>
          <t>Appearance Rating (A)</t>
        </is>
      </c>
      <c r="L1" s="87" t="inlineStr">
        <is>
          <t>ACI = S + A</t>
        </is>
      </c>
      <c r="M1" s="87" t="inlineStr">
        <is>
          <t>ACI Rating</t>
        </is>
      </c>
    </row>
    <row r="2">
      <c r="H2" s="10" t="inlineStr">
        <is>
          <t>No Defect Found</t>
        </is>
      </c>
      <c r="I2" s="10" t="inlineStr">
        <is>
          <t>No Defect Found</t>
        </is>
      </c>
      <c r="J2" s="8" t="n">
        <v>60</v>
      </c>
      <c r="K2" s="8" t="n">
        <v>40</v>
      </c>
      <c r="L2" s="8">
        <f>J2+K2</f>
        <v/>
      </c>
      <c r="M2" s="8" t="inlineStr">
        <is>
          <t>GOOD</t>
        </is>
      </c>
    </row>
    <row r="3" ht="30" customHeight="1">
      <c r="A3" s="87" t="inlineStr">
        <is>
          <t>Select Appropriate Functionalityl Defects</t>
        </is>
      </c>
      <c r="B3" s="84" t="inlineStr">
        <is>
          <t>Select Appropriate Appearance Defects</t>
        </is>
      </c>
      <c r="D3" s="39" t="inlineStr">
        <is>
          <t>S</t>
        </is>
      </c>
      <c r="E3" s="39" t="inlineStr">
        <is>
          <t>A</t>
        </is>
      </c>
      <c r="H3" s="10" t="inlineStr">
        <is>
          <t>Wooden Deck has depression 1% and or misalinged 1% and or damaged 1% and or missing components 1%</t>
        </is>
      </c>
      <c r="I3" s="10" t="inlineStr">
        <is>
          <t>Paint Deterioration 5%</t>
        </is>
      </c>
      <c r="J3" s="8" t="n">
        <v>54</v>
      </c>
      <c r="K3" s="8" t="n">
        <v>36</v>
      </c>
      <c r="L3" s="8">
        <f>J3+K3</f>
        <v/>
      </c>
      <c r="M3" s="8" t="inlineStr">
        <is>
          <t>GOOD</t>
        </is>
      </c>
    </row>
    <row r="4">
      <c r="A4" s="90" t="inlineStr">
        <is>
          <t>No Defect Found</t>
        </is>
      </c>
      <c r="B4" s="90" t="inlineStr">
        <is>
          <t>No Defect Found</t>
        </is>
      </c>
      <c r="D4" s="7">
        <f>VLOOKUP(A4, H2:J12, 3,FALSE)</f>
        <v/>
      </c>
      <c r="E4" s="7">
        <f>VLOOKUP(B4, I2:K12, 3, FALSE)</f>
        <v/>
      </c>
      <c r="H4" s="10" t="inlineStr">
        <is>
          <t>Wooden Deck has depression 2% and or misalinged 2% and or damaged 2% and or missing components 2%</t>
        </is>
      </c>
      <c r="I4" s="10" t="inlineStr">
        <is>
          <t>Paint Deterioration 10%</t>
        </is>
      </c>
      <c r="J4" s="8" t="n">
        <v>48</v>
      </c>
      <c r="K4" s="8" t="n">
        <v>32</v>
      </c>
      <c r="L4" s="8">
        <f>J4+K4</f>
        <v/>
      </c>
      <c r="M4" s="8" t="inlineStr">
        <is>
          <t>GOOD</t>
        </is>
      </c>
    </row>
    <row r="5">
      <c r="H5" s="10" t="inlineStr">
        <is>
          <t>Wooden Deck has depression 5% and or misalinged 5% and or damaged 5% and or missing components 5%</t>
        </is>
      </c>
      <c r="I5" s="10" t="inlineStr">
        <is>
          <t>Paint Deterioration 15%</t>
        </is>
      </c>
      <c r="J5" s="8" t="n">
        <v>42</v>
      </c>
      <c r="K5" s="8" t="n">
        <v>28</v>
      </c>
      <c r="L5" s="8">
        <f>J5+K5</f>
        <v/>
      </c>
      <c r="M5" s="8" t="inlineStr">
        <is>
          <t>FAIR</t>
        </is>
      </c>
    </row>
    <row r="6">
      <c r="H6" s="10" t="inlineStr">
        <is>
          <t>Wooden Deck has depression 10% and or misalinged 10% and or damaged 10% and or missing components 10%</t>
        </is>
      </c>
      <c r="I6" s="10" t="inlineStr">
        <is>
          <t>Paint Deterioration 20%</t>
        </is>
      </c>
      <c r="J6" s="8" t="n">
        <v>36</v>
      </c>
      <c r="K6" s="8" t="n">
        <v>24</v>
      </c>
      <c r="L6" s="8">
        <f>J6+K6</f>
        <v/>
      </c>
      <c r="M6" s="8" t="inlineStr">
        <is>
          <t>FAIR</t>
        </is>
      </c>
    </row>
    <row r="7" ht="24.95" customHeight="1">
      <c r="A7" s="65" t="inlineStr">
        <is>
          <t>(ACI-WD) Value</t>
        </is>
      </c>
      <c r="B7" s="65">
        <f>IF(D4=0, 0, D4+E4)</f>
        <v/>
      </c>
      <c r="H7" s="10" t="inlineStr">
        <is>
          <t>Wooden Deck has depression 20% and or misalinged 20% and or damaged 20% and or missing components 20%</t>
        </is>
      </c>
      <c r="I7" s="10" t="inlineStr">
        <is>
          <t>Paint Deterioration 25%</t>
        </is>
      </c>
      <c r="J7" s="8" t="n">
        <v>30</v>
      </c>
      <c r="K7" s="8" t="n">
        <v>20</v>
      </c>
      <c r="L7" s="8">
        <f>J7+K7</f>
        <v/>
      </c>
      <c r="M7" s="8" t="inlineStr">
        <is>
          <t>FAIR</t>
        </is>
      </c>
    </row>
    <row r="8" ht="24.95" customHeight="1">
      <c r="A8" s="65" t="inlineStr">
        <is>
          <t>(ACI-WD) Condition</t>
        </is>
      </c>
      <c r="B8" s="65">
        <f>IF(AND(B7&gt;=80, B7&lt;=100), "GOOD", IF(AND(B7&gt;40, B7&lt;80), "FAIR", "POOR"))</f>
        <v/>
      </c>
      <c r="H8" s="10" t="inlineStr">
        <is>
          <t>Wooden Deck has depression 25% and or misalinged 25% and or damaged 25% and or missing components 25%</t>
        </is>
      </c>
      <c r="I8" s="10" t="inlineStr">
        <is>
          <t>Paint Deterioration 30%</t>
        </is>
      </c>
      <c r="J8" s="8" t="n">
        <v>24</v>
      </c>
      <c r="K8" s="8" t="n">
        <v>16</v>
      </c>
      <c r="L8" s="8">
        <f>J8+K8</f>
        <v/>
      </c>
      <c r="M8" s="8" t="inlineStr">
        <is>
          <t>POOR</t>
        </is>
      </c>
    </row>
    <row r="9">
      <c r="H9" s="10" t="inlineStr">
        <is>
          <t>Wooden Deck has depression 30% and or misalinged 30% and or damaged 30% and or missing components 30%</t>
        </is>
      </c>
      <c r="I9" s="10" t="inlineStr">
        <is>
          <t>Paint Deterioration 35%</t>
        </is>
      </c>
      <c r="J9" s="8" t="n">
        <v>18</v>
      </c>
      <c r="K9" s="8" t="n">
        <v>12</v>
      </c>
      <c r="L9" s="8">
        <f>J9+K9</f>
        <v/>
      </c>
      <c r="M9" s="8" t="inlineStr">
        <is>
          <t>POOR</t>
        </is>
      </c>
    </row>
    <row r="10">
      <c r="H10" s="10" t="inlineStr">
        <is>
          <t>Wooden Deck has depression 35% and or misalinged 35% and or damaged 35% and or missing components 35%</t>
        </is>
      </c>
      <c r="I10" s="10" t="inlineStr">
        <is>
          <t>Paint Deterioration 40%</t>
        </is>
      </c>
      <c r="J10" s="8" t="n">
        <v>12</v>
      </c>
      <c r="K10" s="8" t="n">
        <v>8</v>
      </c>
      <c r="L10" s="8">
        <f>J10+K10</f>
        <v/>
      </c>
      <c r="M10" s="8" t="inlineStr">
        <is>
          <t>POOR</t>
        </is>
      </c>
    </row>
    <row r="11">
      <c r="H11" s="10" t="inlineStr">
        <is>
          <t>Wooden Deck has depression 40% and or misalinged 40% and or damaged 40% and or missing components 40%</t>
        </is>
      </c>
      <c r="I11" s="10" t="inlineStr">
        <is>
          <t>Paint Deterioration 45%</t>
        </is>
      </c>
      <c r="J11" s="8" t="n">
        <v>6</v>
      </c>
      <c r="K11" s="8" t="n">
        <v>4</v>
      </c>
      <c r="L11" s="8">
        <f>J11+K11</f>
        <v/>
      </c>
      <c r="M11" s="8" t="inlineStr">
        <is>
          <t>POOR</t>
        </is>
      </c>
    </row>
    <row r="12">
      <c r="H12" s="10" t="inlineStr">
        <is>
          <t>Wooden Deck has depression more than 40% and or misalinged more than 40% and or damaged more than 40% and or missing components more than 40%</t>
        </is>
      </c>
      <c r="I12" s="10" t="inlineStr">
        <is>
          <t>Paint Deterioration 50%</t>
        </is>
      </c>
      <c r="J12" s="8" t="n">
        <v>0</v>
      </c>
      <c r="K12" s="8" t="n">
        <v>0</v>
      </c>
      <c r="L12" s="8">
        <f>J12+K12</f>
        <v/>
      </c>
      <c r="M12" s="8" t="inlineStr">
        <is>
          <t>POOR</t>
        </is>
      </c>
    </row>
  </sheetData>
  <mergeCells count="1">
    <mergeCell ref="A1:B1"/>
  </mergeCells>
  <dataValidations count="3">
    <dataValidation sqref="B4" showDropDown="0" showInputMessage="1" showErrorMessage="1" allowBlank="1" type="list">
      <formula1>$I$2:$I$12</formula1>
    </dataValidation>
    <dataValidation sqref="A4" showDropDown="0" showInputMessage="1" showErrorMessage="1" allowBlank="1" type="list">
      <formula1>$H$2:$H$12</formula1>
    </dataValidation>
    <dataValidation sqref="A5" showDropDown="0" showInputMessage="1" showErrorMessage="1" allowBlank="1" type="list">
      <formula1>$J$5:$J$13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FF92D050"/>
    <outlinePr summaryBelow="1" summaryRight="1"/>
    <pageSetUpPr/>
  </sheetPr>
  <dimension ref="A1:M27"/>
  <sheetViews>
    <sheetView workbookViewId="0">
      <selection activeCell="F21" sqref="F21"/>
    </sheetView>
  </sheetViews>
  <sheetFormatPr baseColWidth="8" defaultRowHeight="15"/>
  <cols>
    <col width="55" customWidth="1" min="1" max="1"/>
    <col width="26.42578125" customWidth="1" min="2" max="2"/>
    <col width="87" bestFit="1" customWidth="1" min="8" max="8"/>
    <col width="22" bestFit="1" customWidth="1" min="9" max="9"/>
    <col width="19.28515625" bestFit="1" customWidth="1" min="10" max="10"/>
    <col width="21" bestFit="1" customWidth="1" min="11" max="11"/>
    <col width="10.140625" bestFit="1" customWidth="1" min="12" max="12"/>
    <col width="10.28515625" bestFit="1" customWidth="1" min="13" max="13"/>
  </cols>
  <sheetData>
    <row r="1" ht="24" customHeight="1">
      <c r="A1" s="78" t="inlineStr">
        <is>
          <t>Jogging Track Asset Condition Index Calculator (ACI-JT)</t>
        </is>
      </c>
      <c r="H1" s="87" t="inlineStr">
        <is>
          <t>Functionality Defects</t>
        </is>
      </c>
      <c r="I1" s="87" t="inlineStr">
        <is>
          <t>Appearance Defects</t>
        </is>
      </c>
      <c r="J1" s="87" t="inlineStr">
        <is>
          <t>Structural Rating (S)</t>
        </is>
      </c>
      <c r="K1" s="87" t="inlineStr">
        <is>
          <t>Appearance Rating (A)</t>
        </is>
      </c>
      <c r="L1" s="87" t="inlineStr">
        <is>
          <t>ACI = S + A</t>
        </is>
      </c>
      <c r="M1" s="87" t="inlineStr">
        <is>
          <t>ACI Rating</t>
        </is>
      </c>
    </row>
    <row r="2">
      <c r="H2" s="10" t="inlineStr">
        <is>
          <t>No Defect Found</t>
        </is>
      </c>
      <c r="I2" s="10" t="inlineStr">
        <is>
          <t>No Defect Found</t>
        </is>
      </c>
      <c r="J2" s="8" t="n">
        <v>60</v>
      </c>
      <c r="K2" s="8" t="n">
        <v>40</v>
      </c>
      <c r="L2" s="8">
        <f>J2+K2</f>
        <v/>
      </c>
      <c r="M2" s="8" t="inlineStr">
        <is>
          <t>GOOD</t>
        </is>
      </c>
    </row>
    <row r="3" ht="30" customHeight="1">
      <c r="A3" s="87" t="inlineStr">
        <is>
          <t>Select Appropriate Functionalityl Defects</t>
        </is>
      </c>
      <c r="B3" s="84" t="inlineStr">
        <is>
          <t>Select Appropriate Appearance Defects</t>
        </is>
      </c>
      <c r="D3" s="39" t="inlineStr">
        <is>
          <t>S</t>
        </is>
      </c>
      <c r="E3" s="39" t="inlineStr">
        <is>
          <t>A</t>
        </is>
      </c>
      <c r="H3" s="10" t="inlineStr">
        <is>
          <t>Jogging Track has depression 1% and or damaged (worn out or torn) 1%</t>
        </is>
      </c>
      <c r="I3" s="10" t="inlineStr">
        <is>
          <t>Paint Deterioration 5%</t>
        </is>
      </c>
      <c r="J3" s="8" t="n">
        <v>54</v>
      </c>
      <c r="K3" s="8" t="n">
        <v>36</v>
      </c>
      <c r="L3" s="8">
        <f>J3+K3</f>
        <v/>
      </c>
      <c r="M3" s="8" t="inlineStr">
        <is>
          <t>GOOD</t>
        </is>
      </c>
    </row>
    <row r="4">
      <c r="A4" s="90" t="inlineStr">
        <is>
          <t>No Defect Found</t>
        </is>
      </c>
      <c r="B4" s="90" t="inlineStr">
        <is>
          <t>No Defect Found</t>
        </is>
      </c>
      <c r="D4" s="7">
        <f>VLOOKUP(A4, H2:J12, 3,FALSE)</f>
        <v/>
      </c>
      <c r="E4" s="7">
        <f>VLOOKUP(B4, I2:K12, 3, FALSE)</f>
        <v/>
      </c>
      <c r="H4" s="10" t="inlineStr">
        <is>
          <t>Jogging Track has depression 2% and or damaged (worn out or torn) 2%</t>
        </is>
      </c>
      <c r="I4" s="10" t="inlineStr">
        <is>
          <t>Paint Deterioration 10%</t>
        </is>
      </c>
      <c r="J4" s="8" t="n">
        <v>48</v>
      </c>
      <c r="K4" s="8" t="n">
        <v>32</v>
      </c>
      <c r="L4" s="8">
        <f>J4+K4</f>
        <v/>
      </c>
      <c r="M4" s="8" t="inlineStr">
        <is>
          <t>GOOD</t>
        </is>
      </c>
    </row>
    <row r="5">
      <c r="H5" s="10" t="inlineStr">
        <is>
          <t>Jogging Track has depression 5% and or damaged (worn out or torn) 5%</t>
        </is>
      </c>
      <c r="I5" s="10" t="inlineStr">
        <is>
          <t>Paint Deterioration 15%</t>
        </is>
      </c>
      <c r="J5" s="8" t="n">
        <v>42</v>
      </c>
      <c r="K5" s="8" t="n">
        <v>28</v>
      </c>
      <c r="L5" s="8">
        <f>J5+K5</f>
        <v/>
      </c>
      <c r="M5" s="8" t="inlineStr">
        <is>
          <t>FAIR</t>
        </is>
      </c>
    </row>
    <row r="6">
      <c r="H6" s="10" t="inlineStr">
        <is>
          <t>Jogging Track has depression 10% and or damaged (worn out or torn) 10%</t>
        </is>
      </c>
      <c r="I6" s="10" t="inlineStr">
        <is>
          <t>Paint Deterioration 20%</t>
        </is>
      </c>
      <c r="J6" s="8" t="n">
        <v>36</v>
      </c>
      <c r="K6" s="8" t="n">
        <v>24</v>
      </c>
      <c r="L6" s="8">
        <f>J6+K6</f>
        <v/>
      </c>
      <c r="M6" s="8" t="inlineStr">
        <is>
          <t>FAIR</t>
        </is>
      </c>
    </row>
    <row r="7" ht="24.95" customHeight="1">
      <c r="A7" s="65" t="inlineStr">
        <is>
          <t>(ACI-JT) Value</t>
        </is>
      </c>
      <c r="B7" s="65">
        <f>IF(D4=0, 0, D4+E4)</f>
        <v/>
      </c>
      <c r="H7" s="10" t="inlineStr">
        <is>
          <t>Jogging Track has depression 20% and or damaged (worn out or torn) 20%</t>
        </is>
      </c>
      <c r="I7" s="10" t="inlineStr">
        <is>
          <t>Paint Deterioration 25%</t>
        </is>
      </c>
      <c r="J7" s="8" t="n">
        <v>30</v>
      </c>
      <c r="K7" s="8" t="n">
        <v>20</v>
      </c>
      <c r="L7" s="8">
        <f>J7+K7</f>
        <v/>
      </c>
      <c r="M7" s="8" t="inlineStr">
        <is>
          <t>FAIR</t>
        </is>
      </c>
    </row>
    <row r="8" ht="24.95" customHeight="1">
      <c r="A8" s="65" t="inlineStr">
        <is>
          <t>(ACI-JT) Condition</t>
        </is>
      </c>
      <c r="B8" s="65">
        <f>IF(AND(B7&gt;=80, B7&lt;=100), "GOOD", IF(AND(B7&gt;40, B7&lt;80), "FAIR", "POOR"))</f>
        <v/>
      </c>
      <c r="H8" s="10" t="inlineStr">
        <is>
          <t>Jogging Track has depression 25% and or damaged (worn out or torn) 25%</t>
        </is>
      </c>
      <c r="I8" s="10" t="inlineStr">
        <is>
          <t>Paint Deterioration 30%</t>
        </is>
      </c>
      <c r="J8" s="8" t="n">
        <v>24</v>
      </c>
      <c r="K8" s="8" t="n">
        <v>16</v>
      </c>
      <c r="L8" s="8">
        <f>J8+K8</f>
        <v/>
      </c>
      <c r="M8" s="8" t="inlineStr">
        <is>
          <t>POOR</t>
        </is>
      </c>
    </row>
    <row r="9">
      <c r="H9" s="10" t="inlineStr">
        <is>
          <t>Jogging Track has depression 30% and or damaged (worn out or torn) 30%</t>
        </is>
      </c>
      <c r="I9" s="10" t="inlineStr">
        <is>
          <t>Paint Deterioration 35%</t>
        </is>
      </c>
      <c r="J9" s="8" t="n">
        <v>18</v>
      </c>
      <c r="K9" s="8" t="n">
        <v>12</v>
      </c>
      <c r="L9" s="8">
        <f>J9+K9</f>
        <v/>
      </c>
      <c r="M9" s="8" t="inlineStr">
        <is>
          <t>POOR</t>
        </is>
      </c>
    </row>
    <row r="10">
      <c r="H10" s="10" t="inlineStr">
        <is>
          <t>Jogging Track has depression 35% and or damaged (worn out or torn) 35%</t>
        </is>
      </c>
      <c r="I10" s="10" t="inlineStr">
        <is>
          <t>Paint Deterioration 40%</t>
        </is>
      </c>
      <c r="J10" s="8" t="n">
        <v>12</v>
      </c>
      <c r="K10" s="8" t="n">
        <v>8</v>
      </c>
      <c r="L10" s="8">
        <f>J10+K10</f>
        <v/>
      </c>
      <c r="M10" s="8" t="inlineStr">
        <is>
          <t>POOR</t>
        </is>
      </c>
    </row>
    <row r="11">
      <c r="H11" s="10" t="inlineStr">
        <is>
          <t>Jogging Track has depression 40% and or damaged (worn out or torn) 40%</t>
        </is>
      </c>
      <c r="I11" s="10" t="inlineStr">
        <is>
          <t>Paint Deterioration 45%</t>
        </is>
      </c>
      <c r="J11" s="8" t="n">
        <v>6</v>
      </c>
      <c r="K11" s="8" t="n">
        <v>4</v>
      </c>
      <c r="L11" s="8">
        <f>J11+K11</f>
        <v/>
      </c>
      <c r="M11" s="8" t="inlineStr">
        <is>
          <t>POOR</t>
        </is>
      </c>
    </row>
    <row r="12">
      <c r="H12" s="10" t="inlineStr">
        <is>
          <t>Jogging Track has depression more than 40% and or damaged (worn out or torn) more than 40%</t>
        </is>
      </c>
      <c r="I12" s="10" t="inlineStr">
        <is>
          <t>Paint Deterioration 50%</t>
        </is>
      </c>
      <c r="J12" s="8" t="n">
        <v>0</v>
      </c>
      <c r="K12" s="8" t="n">
        <v>0</v>
      </c>
      <c r="L12" s="8">
        <f>J12+K12</f>
        <v/>
      </c>
      <c r="M12" s="8" t="inlineStr">
        <is>
          <t>POOR</t>
        </is>
      </c>
    </row>
    <row r="13">
      <c r="H13" s="12" t="n"/>
    </row>
    <row r="14"/>
    <row r="15">
      <c r="H15" s="12" t="n"/>
    </row>
    <row r="16">
      <c r="H16" s="12" t="n"/>
    </row>
    <row r="17">
      <c r="H17" s="12" t="n"/>
    </row>
    <row r="18">
      <c r="H18" s="12" t="n"/>
    </row>
    <row r="19">
      <c r="H19" s="12" t="n"/>
    </row>
    <row r="20">
      <c r="H20" s="12" t="n"/>
    </row>
    <row r="21">
      <c r="H21" s="12" t="n"/>
    </row>
    <row r="22">
      <c r="H22" s="12" t="n"/>
    </row>
    <row r="23">
      <c r="H23" s="12" t="n"/>
    </row>
    <row r="24">
      <c r="H24" s="12" t="n"/>
    </row>
    <row r="25">
      <c r="H25" s="12" t="n"/>
    </row>
    <row r="26"/>
    <row r="27">
      <c r="H27" s="12" t="n"/>
    </row>
  </sheetData>
  <mergeCells count="1">
    <mergeCell ref="A1:B1"/>
  </mergeCells>
  <dataValidations count="3">
    <dataValidation sqref="A5" showDropDown="0" showInputMessage="1" showErrorMessage="1" allowBlank="1" type="list">
      <formula1>$J$5:$J$13</formula1>
    </dataValidation>
    <dataValidation sqref="A4" showDropDown="0" showInputMessage="1" showErrorMessage="1" allowBlank="1" type="list">
      <formula1>$H$2:$H$12</formula1>
    </dataValidation>
    <dataValidation sqref="B4" showDropDown="0" showInputMessage="1" showErrorMessage="1" allowBlank="1" type="list">
      <formula1>$I$2:$I$12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F12"/>
  <sheetViews>
    <sheetView workbookViewId="0">
      <selection activeCell="A1" sqref="A1:F12"/>
    </sheetView>
  </sheetViews>
  <sheetFormatPr baseColWidth="8" defaultRowHeight="15"/>
  <cols>
    <col width="61.140625" customWidth="1" min="1" max="1"/>
    <col width="46.28515625" customWidth="1" min="2" max="2"/>
    <col width="19.7109375" bestFit="1" customWidth="1" min="3" max="3"/>
    <col width="21" bestFit="1" customWidth="1" min="4" max="4"/>
    <col width="10" bestFit="1" customWidth="1" min="5" max="5"/>
    <col width="10.28515625" bestFit="1" customWidth="1" min="6" max="6"/>
  </cols>
  <sheetData>
    <row r="1" ht="18.75" customHeight="1">
      <c r="A1" s="87" t="inlineStr">
        <is>
          <t>Functional Defects</t>
        </is>
      </c>
      <c r="B1" s="87" t="inlineStr">
        <is>
          <t>Appearance Defects</t>
        </is>
      </c>
      <c r="C1" s="87" t="inlineStr">
        <is>
          <t>Functional Rating (F)</t>
        </is>
      </c>
      <c r="D1" s="87" t="inlineStr">
        <is>
          <t>Appearance Rating (A)</t>
        </is>
      </c>
      <c r="E1" s="87" t="inlineStr">
        <is>
          <t>ACI = F + A</t>
        </is>
      </c>
      <c r="F1" s="87" t="inlineStr">
        <is>
          <t>ACI Rating</t>
        </is>
      </c>
    </row>
    <row r="2">
      <c r="A2" s="2" t="inlineStr">
        <is>
          <t>Post Misaligned or damaged completely</t>
        </is>
      </c>
      <c r="B2" s="2" t="inlineStr">
        <is>
          <t>Paint faded or Peeled off more than 40% with rusting</t>
        </is>
      </c>
      <c r="C2" s="8" t="n">
        <v>0</v>
      </c>
      <c r="D2" s="8" t="n">
        <v>0</v>
      </c>
      <c r="E2" s="8">
        <f>C2+D2</f>
        <v/>
      </c>
      <c r="F2" s="10" t="inlineStr">
        <is>
          <t>POOR</t>
        </is>
      </c>
    </row>
    <row r="3">
      <c r="A3" s="2" t="inlineStr">
        <is>
          <t>Post Misaligned 35% and or any other deterioration 35%</t>
        </is>
      </c>
      <c r="B3" s="2" t="inlineStr">
        <is>
          <t>Paint faded or Peeled off 40% with rusting</t>
        </is>
      </c>
      <c r="C3" s="8" t="n">
        <v>8</v>
      </c>
      <c r="D3" s="8" t="n">
        <v>2</v>
      </c>
      <c r="E3" s="8">
        <f>C3+D3</f>
        <v/>
      </c>
      <c r="F3" s="10" t="inlineStr">
        <is>
          <t>POOR</t>
        </is>
      </c>
    </row>
    <row r="4">
      <c r="A4" s="2" t="inlineStr">
        <is>
          <t xml:space="preserve">Post Misaligned 30% and or any other deterioration 30% </t>
        </is>
      </c>
      <c r="B4" s="2" t="inlineStr">
        <is>
          <t>Paint faded or Peeled off 30% with rusting</t>
        </is>
      </c>
      <c r="C4" s="8" t="n">
        <v>16</v>
      </c>
      <c r="D4" s="8" t="n">
        <v>4</v>
      </c>
      <c r="E4" s="8">
        <f>C4+D4</f>
        <v/>
      </c>
      <c r="F4" s="10" t="inlineStr">
        <is>
          <t>POOR</t>
        </is>
      </c>
    </row>
    <row r="5">
      <c r="A5" s="2" t="inlineStr">
        <is>
          <t xml:space="preserve">Post Misaligned 25% and or any other deterioration 25% </t>
        </is>
      </c>
      <c r="B5" s="2" t="inlineStr">
        <is>
          <t>Paint faded or Peeled off 25% with rusting</t>
        </is>
      </c>
      <c r="C5" s="8" t="n">
        <v>24</v>
      </c>
      <c r="D5" s="8" t="n">
        <v>6</v>
      </c>
      <c r="E5" s="8">
        <f>C5+D5</f>
        <v/>
      </c>
      <c r="F5" s="10" t="inlineStr">
        <is>
          <t>POOR</t>
        </is>
      </c>
    </row>
    <row r="6">
      <c r="A6" s="2" t="inlineStr">
        <is>
          <t xml:space="preserve">Post Misaligned 20% and or any other deterioration 20% </t>
        </is>
      </c>
      <c r="B6" s="2" t="inlineStr">
        <is>
          <t>Paint faded or Peeled off 20%  with rusting</t>
        </is>
      </c>
      <c r="C6" s="8" t="n">
        <v>32</v>
      </c>
      <c r="D6" s="8" t="n">
        <v>8</v>
      </c>
      <c r="E6" s="8">
        <f>C6+D6</f>
        <v/>
      </c>
      <c r="F6" s="10" t="inlineStr">
        <is>
          <t>POOR</t>
        </is>
      </c>
    </row>
    <row r="7">
      <c r="A7" s="2" t="inlineStr">
        <is>
          <t xml:space="preserve">Post Misaligned 10% and or any other deterioration 10% </t>
        </is>
      </c>
      <c r="B7" s="2" t="inlineStr">
        <is>
          <t>Paint faded or Peeled off 15% with rusting</t>
        </is>
      </c>
      <c r="C7" s="8" t="n">
        <v>40</v>
      </c>
      <c r="D7" s="8" t="n">
        <v>10</v>
      </c>
      <c r="E7" s="8">
        <f>C7+D7</f>
        <v/>
      </c>
      <c r="F7" s="10" t="inlineStr">
        <is>
          <t>FAIR</t>
        </is>
      </c>
    </row>
    <row r="8">
      <c r="A8" s="2" t="inlineStr">
        <is>
          <t xml:space="preserve">Post Misaligned 7% and or any other deterioration 7% </t>
        </is>
      </c>
      <c r="B8" s="2" t="inlineStr">
        <is>
          <t>Paint faded or Peeled off 10% with rusting</t>
        </is>
      </c>
      <c r="C8" s="8" t="n">
        <v>48</v>
      </c>
      <c r="D8" s="8" t="n">
        <v>12</v>
      </c>
      <c r="E8" s="8">
        <f>C8+D8</f>
        <v/>
      </c>
      <c r="F8" s="10" t="inlineStr">
        <is>
          <t>FAIR</t>
        </is>
      </c>
    </row>
    <row r="9">
      <c r="A9" s="2" t="inlineStr">
        <is>
          <t xml:space="preserve">Post Misaligned 5% and or any other deterioration 5% </t>
        </is>
      </c>
      <c r="B9" s="2" t="inlineStr">
        <is>
          <t xml:space="preserve">Paint faded or Peeled off 5% </t>
        </is>
      </c>
      <c r="C9" s="8" t="n">
        <v>56</v>
      </c>
      <c r="D9" s="8" t="n">
        <v>14</v>
      </c>
      <c r="E9" s="8">
        <f>C9+D9</f>
        <v/>
      </c>
      <c r="F9" s="10" t="inlineStr">
        <is>
          <t>FAIR</t>
        </is>
      </c>
    </row>
    <row r="10">
      <c r="A10" s="2" t="inlineStr">
        <is>
          <t xml:space="preserve">Post Misaligned Minor 2% and or any other minor deterioration 2% </t>
        </is>
      </c>
      <c r="B10" s="2" t="inlineStr">
        <is>
          <t xml:space="preserve">Minor Paint faded or Peeled off 2% </t>
        </is>
      </c>
      <c r="C10" s="8" t="n">
        <v>64</v>
      </c>
      <c r="D10" s="8" t="n">
        <v>16</v>
      </c>
      <c r="E10" s="8">
        <f>C10+D10</f>
        <v/>
      </c>
      <c r="F10" s="10" t="inlineStr">
        <is>
          <t>GOOD</t>
        </is>
      </c>
    </row>
    <row r="11">
      <c r="A11" s="2" t="inlineStr">
        <is>
          <t xml:space="preserve">Post Misaligned Minor 1% and or any other minor deterioration 1% </t>
        </is>
      </c>
      <c r="B11" s="2" t="inlineStr">
        <is>
          <t xml:space="preserve">Minor Paint faded or Peeled off 1% </t>
        </is>
      </c>
      <c r="C11" s="8" t="n">
        <v>72</v>
      </c>
      <c r="D11" s="8" t="n">
        <v>18</v>
      </c>
      <c r="E11" s="8">
        <f>C11+D11</f>
        <v/>
      </c>
      <c r="F11" s="10" t="inlineStr">
        <is>
          <t>GOOD</t>
        </is>
      </c>
    </row>
    <row r="12">
      <c r="A12" s="2" t="inlineStr">
        <is>
          <t>No Defect Found</t>
        </is>
      </c>
      <c r="B12" s="2" t="inlineStr">
        <is>
          <t>No Defect Found</t>
        </is>
      </c>
      <c r="C12" s="8" t="n">
        <v>80</v>
      </c>
      <c r="D12" s="8" t="n">
        <v>20</v>
      </c>
      <c r="E12" s="8">
        <f>C12+D12</f>
        <v/>
      </c>
      <c r="F12" s="10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g209</dc:creator>
  <dcterms:created xmlns:dcterms="http://purl.org/dc/terms/" xmlns:xsi="http://www.w3.org/2001/XMLSchema-instance" xsi:type="dcterms:W3CDTF">2024-06-14T06:14:14Z</dcterms:created>
  <dcterms:modified xmlns:dcterms="http://purl.org/dc/terms/" xmlns:xsi="http://www.w3.org/2001/XMLSchema-instance" xsi:type="dcterms:W3CDTF">2026-05-19T06:34:41Z</dcterms:modified>
  <cp:lastModifiedBy>g206</cp:lastModifiedBy>
</cp:coreProperties>
</file>