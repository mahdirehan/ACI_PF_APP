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aeed Data\Unknown Proposal Work\Development of Application\Calculations\"/>
    </mc:Choice>
  </mc:AlternateContent>
  <xr:revisionPtr revIDLastSave="0" documentId="13_ncr:1_{3FFED8C6-B4D6-49F6-96CF-006E7831579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riority Index Cal Sheet" sheetId="5" state="hidden" r:id="rId1"/>
    <sheet name="Condition Factor" sheetId="1" r:id="rId2"/>
    <sheet name="Risk Factor" sheetId="2" r:id="rId3"/>
    <sheet name="Functional Life Factor " sheetId="4" r:id="rId4"/>
    <sheet name="Functional Life Factor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4" l="1"/>
  <c r="K31" i="4"/>
  <c r="K30" i="4"/>
  <c r="K29" i="4"/>
  <c r="K28" i="4"/>
  <c r="K27" i="4"/>
  <c r="K26" i="4"/>
  <c r="K25" i="4"/>
  <c r="K24" i="4"/>
  <c r="K2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L17" i="4" s="1"/>
  <c r="K19" i="4"/>
  <c r="K20" i="4"/>
  <c r="K2" i="4"/>
  <c r="L28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2" i="1"/>
  <c r="H32" i="4"/>
  <c r="J31" i="4"/>
  <c r="H31" i="4"/>
  <c r="H30" i="4"/>
  <c r="H29" i="4"/>
  <c r="J29" i="4" s="1"/>
  <c r="H28" i="4"/>
  <c r="J28" i="4" s="1"/>
  <c r="H27" i="4"/>
  <c r="H26" i="4"/>
  <c r="J26" i="4" s="1"/>
  <c r="H25" i="4"/>
  <c r="H24" i="4"/>
  <c r="J24" i="4" s="1"/>
  <c r="H23" i="4"/>
  <c r="J23" i="4" s="1"/>
  <c r="H20" i="4"/>
  <c r="H19" i="4"/>
  <c r="J19" i="4" s="1"/>
  <c r="H18" i="4"/>
  <c r="H17" i="4"/>
  <c r="H16" i="4"/>
  <c r="J16" i="4" s="1"/>
  <c r="H15" i="4"/>
  <c r="H14" i="4"/>
  <c r="H13" i="4"/>
  <c r="J12" i="4"/>
  <c r="H12" i="4"/>
  <c r="J11" i="4"/>
  <c r="H11" i="4"/>
  <c r="H10" i="4"/>
  <c r="H9" i="4"/>
  <c r="H8" i="4"/>
  <c r="H7" i="4"/>
  <c r="H6" i="4"/>
  <c r="J6" i="4" s="1"/>
  <c r="H5" i="4"/>
  <c r="H4" i="4"/>
  <c r="H3" i="4"/>
  <c r="J3" i="4" s="1"/>
  <c r="H2" i="4"/>
  <c r="J4" i="4" l="1"/>
  <c r="L25" i="4"/>
  <c r="J8" i="4"/>
  <c r="J30" i="4"/>
  <c r="J10" i="4"/>
  <c r="J25" i="4"/>
  <c r="J14" i="4"/>
  <c r="J5" i="4"/>
  <c r="J15" i="4"/>
  <c r="J27" i="4"/>
  <c r="J20" i="4"/>
  <c r="J7" i="4"/>
  <c r="J17" i="4"/>
  <c r="J9" i="4"/>
  <c r="J2" i="4"/>
  <c r="J32" i="4"/>
  <c r="J13" i="4"/>
  <c r="J18" i="4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  <c r="D34" i="2" l="1"/>
</calcChain>
</file>

<file path=xl/sharedStrings.xml><?xml version="1.0" encoding="utf-8"?>
<sst xmlns="http://schemas.openxmlformats.org/spreadsheetml/2006/main" count="219" uniqueCount="97">
  <si>
    <t>ACI</t>
  </si>
  <si>
    <t>CF</t>
  </si>
  <si>
    <t>SN</t>
  </si>
  <si>
    <t>Asset Name</t>
  </si>
  <si>
    <t>Priority Level</t>
  </si>
  <si>
    <t>Total Risk Score</t>
  </si>
  <si>
    <t>Traffic Signal</t>
  </si>
  <si>
    <t>H</t>
  </si>
  <si>
    <t>Road Sign</t>
  </si>
  <si>
    <t>Streetlight</t>
  </si>
  <si>
    <t>Crash Cushion</t>
  </si>
  <si>
    <t>Road Marking</t>
  </si>
  <si>
    <t>Road Hump</t>
  </si>
  <si>
    <t>Road Studs</t>
  </si>
  <si>
    <t>Barrier</t>
  </si>
  <si>
    <t>Guardrail</t>
  </si>
  <si>
    <t>Road Gantry</t>
  </si>
  <si>
    <t>Pedestrian Crossing</t>
  </si>
  <si>
    <t>Fence</t>
  </si>
  <si>
    <t>Total</t>
  </si>
  <si>
    <t>Roadside Camera</t>
  </si>
  <si>
    <t>M</t>
  </si>
  <si>
    <t>Control Cabinet</t>
  </si>
  <si>
    <t>Manhole</t>
  </si>
  <si>
    <t>Drainage Point</t>
  </si>
  <si>
    <t>Curb Stone</t>
  </si>
  <si>
    <t>Footpath</t>
  </si>
  <si>
    <t>Gully</t>
  </si>
  <si>
    <t>Bollards</t>
  </si>
  <si>
    <t>Island</t>
  </si>
  <si>
    <t>L</t>
  </si>
  <si>
    <t>Median</t>
  </si>
  <si>
    <t>Parking</t>
  </si>
  <si>
    <t>Layby</t>
  </si>
  <si>
    <t>Decorative Furniture</t>
  </si>
  <si>
    <t>Cycle Rack</t>
  </si>
  <si>
    <t>Parking Tent</t>
  </si>
  <si>
    <t>Pergolas</t>
  </si>
  <si>
    <t>Landscape</t>
  </si>
  <si>
    <t>Public Sheds</t>
  </si>
  <si>
    <t>Camel Grid</t>
  </si>
  <si>
    <t>Benches</t>
  </si>
  <si>
    <t>RF</t>
  </si>
  <si>
    <t>Feature Name</t>
  </si>
  <si>
    <t>Total Life</t>
  </si>
  <si>
    <t>Consumed life</t>
  </si>
  <si>
    <t>FLF</t>
  </si>
  <si>
    <t>ACI - Max</t>
  </si>
  <si>
    <t>ACI - Mid</t>
  </si>
  <si>
    <t>ACI - Min</t>
  </si>
  <si>
    <t>Street Marking - Thremoplastic</t>
  </si>
  <si>
    <t>(ACI-96)/-25</t>
  </si>
  <si>
    <t>Street Marking - Cold Paint</t>
  </si>
  <si>
    <t>(ACI-99.167)/-14.583</t>
  </si>
  <si>
    <t>(ACI-107.15)/-8.4176</t>
  </si>
  <si>
    <t>(ACI-101.69)/-6.2463</t>
  </si>
  <si>
    <t>Guard Rail</t>
  </si>
  <si>
    <t>(ACI-103.3)/-2.7284</t>
  </si>
  <si>
    <t>(ACI-99.216)/-6.027</t>
  </si>
  <si>
    <t>(ACI-103.48)/-4.2834</t>
  </si>
  <si>
    <t>(ACI-103.33)/-6.8571</t>
  </si>
  <si>
    <t>Crosswalks</t>
  </si>
  <si>
    <t>(ACI-99.639)/-12.097</t>
  </si>
  <si>
    <t>(ACI-104.29)/-2.7375</t>
  </si>
  <si>
    <t>(ACI-102.73)/-2.2296</t>
  </si>
  <si>
    <t>(ACI-102.22)/-3.2661</t>
  </si>
  <si>
    <t>(ACI-99.164)/-11.77</t>
  </si>
  <si>
    <t>Spillway</t>
  </si>
  <si>
    <t>(ACI-102.52)/-2.644</t>
  </si>
  <si>
    <t>Gantry - Gantry Foundation</t>
  </si>
  <si>
    <t>(ACI-99.435)/-3.0273</t>
  </si>
  <si>
    <t>Gantry Structure</t>
  </si>
  <si>
    <t>(ACI-97.564)/-3.5836</t>
  </si>
  <si>
    <t>Gantry Sign</t>
  </si>
  <si>
    <t>(ACI-106.08)/-7.5357</t>
  </si>
  <si>
    <t>Hump</t>
  </si>
  <si>
    <t>(ACI-106.06)/-3.2815</t>
  </si>
  <si>
    <t>Not Applicable</t>
  </si>
  <si>
    <t>(ACI-101.18)/-6.2868</t>
  </si>
  <si>
    <t>Cycle Racks</t>
  </si>
  <si>
    <t>(ACI-102.21)/-6.5441</t>
  </si>
  <si>
    <t>Public Sheds and Parking Tents - Foundation</t>
  </si>
  <si>
    <t>(ACI-103.31)/-3.4138</t>
  </si>
  <si>
    <t>Public Sheds and Parking Tents - Column</t>
  </si>
  <si>
    <t>(ACI-102.89)/-4.4763</t>
  </si>
  <si>
    <t>Public Sheds and Parking Tents - Roof</t>
  </si>
  <si>
    <t>(ACI-101.08)/-12.595</t>
  </si>
  <si>
    <t>Pergola - Foundation</t>
  </si>
  <si>
    <t>(ACI-103.9)/-4.6753</t>
  </si>
  <si>
    <t>Pergola - Column</t>
  </si>
  <si>
    <t>(ACI-104.29)/-4.7669</t>
  </si>
  <si>
    <t>Pergolas - Roof</t>
  </si>
  <si>
    <t>(ACI-103.33)/-6.857</t>
  </si>
  <si>
    <t>Equation for Consumed Life from Deterioration Models</t>
  </si>
  <si>
    <t>Consumed Life</t>
  </si>
  <si>
    <t>Total Life of the Asset</t>
  </si>
  <si>
    <t>PF = 0.6*CF + 0.2*RF + 0.2*FLF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</si>
</sst>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4" borderId="5" xfId="1" applyBorder="1"/>
    <xf numFmtId="0" fontId="4" fillId="4" borderId="5" xfId="1" applyBorder="1" applyAlignment="1">
      <alignment horizontal="center"/>
    </xf>
    <xf numFmtId="0" fontId="8" fillId="0" borderId="5" xfId="0" applyFont="1" applyBorder="1"/>
    <xf numFmtId="0" fontId="5" fillId="5" borderId="5" xfId="2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wrapText="1"/>
    </xf>
    <xf numFmtId="0" fontId="0" fillId="3" borderId="5" xfId="0" applyFill="1" applyBorder="1"/>
    <xf numFmtId="0" fontId="8" fillId="3" borderId="5" xfId="0" applyFont="1" applyFill="1" applyBorder="1"/>
    <xf numFmtId="0" fontId="8" fillId="6" borderId="5" xfId="0" applyFont="1" applyFill="1" applyBorder="1"/>
    <xf numFmtId="0" fontId="2" fillId="6" borderId="5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1</xdr:row>
      <xdr:rowOff>128587</xdr:rowOff>
    </xdr:from>
    <xdr:ext cx="4200525" cy="11763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D56A962-2754-18F3-6CCD-50A40902CCCB}"/>
                </a:ext>
              </a:extLst>
            </xdr:cNvPr>
            <xdr:cNvSpPr txBox="1"/>
          </xdr:nvSpPr>
          <xdr:spPr>
            <a:xfrm>
              <a:off x="1647825" y="319087"/>
              <a:ext cx="4200525" cy="1176338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AE" sz="2400"/>
                <a:t>If</a:t>
              </a:r>
              <a:r>
                <a:rPr lang="en-AE" sz="2400" baseline="0"/>
                <a:t> ACI </a:t>
              </a:r>
              <a:r>
                <a:rPr lang="en-AE" sz="2400" u="sng" baseline="0"/>
                <a:t>&gt;</a:t>
              </a:r>
              <a:r>
                <a:rPr lang="en-AE" sz="2400" u="none" baseline="0"/>
                <a:t> 80 then CF = 0, If ACI&lt;80</a:t>
              </a:r>
            </a:p>
            <a:p>
              <a14:m>
                <m:oMath xmlns:m="http://schemas.openxmlformats.org/officeDocument/2006/math"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𝐶𝑜𝑛𝑑𝑖𝑡𝑖𝑜𝑛</m:t>
                  </m:r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𝐹𝑎𝑐𝑡𝑜𝑟</m:t>
                  </m:r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d>
                    <m:dPr>
                      <m:ctrlP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𝐶𝐹</m:t>
                      </m:r>
                    </m:e>
                  </m:d>
                  <m:r>
                    <a:rPr lang="en-US" sz="18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=[ </m:t>
                  </m:r>
                  <m:f>
                    <m:fPr>
                      <m:ctrlP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80 −</m:t>
                      </m:r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𝐴𝐶𝐼</m:t>
                      </m:r>
                    </m:num>
                    <m:den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80</m:t>
                      </m:r>
                    </m:den>
                  </m:f>
                </m:oMath>
              </a14:m>
              <a:r>
                <a:rPr lang="en-AE" sz="18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] * 100 </a:t>
              </a:r>
              <a:endParaRPr lang="en-AE" sz="4000" u="none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D56A962-2754-18F3-6CCD-50A40902CCCB}"/>
                </a:ext>
              </a:extLst>
            </xdr:cNvPr>
            <xdr:cNvSpPr txBox="1"/>
          </xdr:nvSpPr>
          <xdr:spPr>
            <a:xfrm>
              <a:off x="1647825" y="319087"/>
              <a:ext cx="4200525" cy="1176338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AE" sz="2400"/>
                <a:t>If</a:t>
              </a:r>
              <a:r>
                <a:rPr lang="en-AE" sz="2400" baseline="0"/>
                <a:t> ACI </a:t>
              </a:r>
              <a:r>
                <a:rPr lang="en-AE" sz="2400" u="sng" baseline="0"/>
                <a:t>&gt;</a:t>
              </a:r>
              <a:r>
                <a:rPr lang="en-AE" sz="2400" u="none" baseline="0"/>
                <a:t> 80 then CF = 0, If ACI&lt;80</a:t>
              </a:r>
            </a:p>
            <a:p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𝐶𝑜𝑛𝑑𝑖𝑡𝑖𝑜𝑛 𝐹𝑎𝑐𝑡𝑜𝑟 (𝐶𝐹)=[  (80 −𝐴𝐶𝐼)/80</a:t>
              </a:r>
              <a:r>
                <a:rPr lang="en-AE" sz="18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] * 100 </a:t>
              </a:r>
              <a:endParaRPr lang="en-AE" sz="4000" u="none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180975</xdr:colOff>
      <xdr:row>1</xdr:row>
      <xdr:rowOff>90487</xdr:rowOff>
    </xdr:from>
    <xdr:ext cx="5172075" cy="738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50803B9-3372-E46F-590A-943B638B2434}"/>
                </a:ext>
              </a:extLst>
            </xdr:cNvPr>
            <xdr:cNvSpPr txBox="1"/>
          </xdr:nvSpPr>
          <xdr:spPr>
            <a:xfrm>
              <a:off x="6677025" y="671512"/>
              <a:ext cx="5172075" cy="738188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𝑅𝐹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𝑅𝐹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["/>
                        <m:endChr m:val="]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𝑅𝑆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 − </m:t>
                            </m:r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𝑅𝑆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𝑚𝑖𝑛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𝑅𝑆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𝑚𝑎𝑥</m:t>
                                </m:r>
                              </m:sub>
                            </m:s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 − </m:t>
                            </m:r>
                            <m:sSub>
                              <m:sSub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𝑅𝑆</m:t>
                                </m:r>
                              </m:e>
                              <m:sub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𝑚𝑖𝑛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100 − </m:t>
                        </m:r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𝑅𝐹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E" sz="18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50803B9-3372-E46F-590A-943B638B2434}"/>
                </a:ext>
              </a:extLst>
            </xdr:cNvPr>
            <xdr:cNvSpPr txBox="1"/>
          </xdr:nvSpPr>
          <xdr:spPr>
            <a:xfrm>
              <a:off x="6677025" y="671512"/>
              <a:ext cx="5172075" cy="738188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𝑅𝐹= 〖𝑅𝐹〗_𝑚𝑖𝑛+[(〖𝑅𝑆〗_𝑖  − 〖𝑅𝑆〗_𝑚𝑖𝑛)/(〖𝑅𝑆〗_𝑚𝑎𝑥  − 〖𝑅𝑆〗_𝑚𝑖𝑛 )]∗(100 − 〖𝑅𝐹〗_𝑚𝑖𝑛 )</a:t>
              </a:r>
              <a:endParaRPr lang="en-AE" sz="1800"/>
            </a:p>
          </xdr:txBody>
        </xdr:sp>
      </mc:Fallback>
    </mc:AlternateContent>
    <xdr:clientData/>
  </xdr:oneCellAnchor>
  <xdr:twoCellAnchor>
    <xdr:from>
      <xdr:col>8</xdr:col>
      <xdr:colOff>171450</xdr:colOff>
      <xdr:row>5</xdr:row>
      <xdr:rowOff>19049</xdr:rowOff>
    </xdr:from>
    <xdr:to>
      <xdr:col>16</xdr:col>
      <xdr:colOff>466725</xdr:colOff>
      <xdr:row>6</xdr:row>
      <xdr:rowOff>142875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C8DD91-7DC7-6E94-1C9F-F8171D2AA07E}"/>
                </a:ext>
              </a:extLst>
            </xdr:cNvPr>
            <xdr:cNvSpPr txBox="1"/>
          </xdr:nvSpPr>
          <xdr:spPr>
            <a:xfrm>
              <a:off x="5295900" y="1200149"/>
              <a:ext cx="5172075" cy="323851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𝑅𝐹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𝑚𝑖𝑛</m:t>
                      </m:r>
                    </m:sub>
                  </m:sSub>
                </m:oMath>
              </a14:m>
              <a:r>
                <a:rPr lang="en-AE" sz="1400"/>
                <a:t> </a:t>
              </a:r>
              <a:r>
                <a:rPr lang="en-AE" sz="1100"/>
                <a:t>cannot be zero, </a:t>
              </a:r>
              <a:r>
                <a:rPr lang="en-AE" sz="1100" baseline="0"/>
                <a:t>by default it is considered as 10</a:t>
              </a:r>
              <a:endParaRPr lang="en-AE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C8DD91-7DC7-6E94-1C9F-F8171D2AA07E}"/>
                </a:ext>
              </a:extLst>
            </xdr:cNvPr>
            <xdr:cNvSpPr txBox="1"/>
          </xdr:nvSpPr>
          <xdr:spPr>
            <a:xfrm>
              <a:off x="5295900" y="1200149"/>
              <a:ext cx="5172075" cy="323851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〖𝑅𝐹〗_𝑚𝑖𝑛</a:t>
              </a:r>
              <a:r>
                <a:rPr lang="en-AE" sz="1400"/>
                <a:t> </a:t>
              </a:r>
              <a:r>
                <a:rPr lang="en-AE" sz="1100"/>
                <a:t>cannot be zero, </a:t>
              </a:r>
              <a:r>
                <a:rPr lang="en-AE" sz="1100" baseline="0"/>
                <a:t>by default it is considered as 10</a:t>
              </a:r>
              <a:endParaRPr lang="en-AE" sz="1100"/>
            </a:p>
          </xdr:txBody>
        </xdr:sp>
      </mc:Fallback>
    </mc:AlternateContent>
    <xdr:clientData/>
  </xdr:twoCellAnchor>
  <xdr:twoCellAnchor>
    <xdr:from>
      <xdr:col>8</xdr:col>
      <xdr:colOff>171450</xdr:colOff>
      <xdr:row>6</xdr:row>
      <xdr:rowOff>123825</xdr:rowOff>
    </xdr:from>
    <xdr:to>
      <xdr:col>16</xdr:col>
      <xdr:colOff>466725</xdr:colOff>
      <xdr:row>8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2D5BEE-B1A6-474F-9945-7735E5D6AB72}"/>
            </a:ext>
          </a:extLst>
        </xdr:cNvPr>
        <xdr:cNvSpPr txBox="1"/>
      </xdr:nvSpPr>
      <xdr:spPr>
        <a:xfrm>
          <a:off x="5295900" y="1504950"/>
          <a:ext cx="5172075" cy="4381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100"/>
            <a:t>RF value ranges between 10 - 100, where 10 being the least and 100 being the higest risk factor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2</xdr:row>
      <xdr:rowOff>114300</xdr:rowOff>
    </xdr:from>
    <xdr:ext cx="6753225" cy="17049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34836D-A595-46C0-AE7C-600E5ACD2BC7}"/>
            </a:ext>
          </a:extLst>
        </xdr:cNvPr>
        <xdr:cNvSpPr txBox="1"/>
      </xdr:nvSpPr>
      <xdr:spPr>
        <a:xfrm>
          <a:off x="11706225" y="495300"/>
          <a:ext cx="6753225" cy="17049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br>
            <a:rPr lang="en-US" sz="1800">
              <a:effectLst/>
            </a:rPr>
          </a:br>
          <a:r>
            <a:rPr lang="en-US" sz="1800"/>
            <a:t>IF ACI = 0 → FLF = 100</a:t>
          </a:r>
          <a:br>
            <a:rPr lang="en-US" sz="1800"/>
          </a:br>
          <a:r>
            <a:rPr lang="en-US" sz="1800"/>
            <a:t>IF ACI is between 100 and 1 → FLF = (Consumed Life / Total Life) × 100</a:t>
          </a:r>
          <a:br>
            <a:rPr lang="en-US" sz="1800"/>
          </a:br>
          <a:r>
            <a:rPr lang="en-US" sz="1800"/>
            <a:t>FLF is always limited between 0 and 100</a:t>
          </a:r>
          <a:br>
            <a:rPr lang="en-US" sz="1800">
              <a:effectLst/>
            </a:rPr>
          </a:br>
          <a:endParaRPr lang="en-AE" sz="18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E4F-8B60-4BDB-A9BE-46DF963AFF9F}">
  <dimension ref="A1:C33"/>
  <sheetViews>
    <sheetView workbookViewId="0">
      <selection activeCell="F25" sqref="F25"/>
    </sheetView>
  </sheetViews>
  <sheetFormatPr defaultRowHeight="15" x14ac:dyDescent="0.25"/>
  <cols>
    <col min="1" max="1" width="3.42578125" bestFit="1" customWidth="1"/>
    <col min="2" max="2" width="19.5703125" bestFit="1" customWidth="1"/>
  </cols>
  <sheetData>
    <row r="1" spans="1:3" x14ac:dyDescent="0.25">
      <c r="A1" s="3" t="s">
        <v>2</v>
      </c>
      <c r="B1" s="3" t="s">
        <v>3</v>
      </c>
      <c r="C1" t="s">
        <v>0</v>
      </c>
    </row>
    <row r="2" spans="1:3" ht="15.75" thickBot="1" x14ac:dyDescent="0.3">
      <c r="A2" s="5">
        <v>1</v>
      </c>
      <c r="B2" s="6" t="s">
        <v>6</v>
      </c>
    </row>
    <row r="3" spans="1:3" ht="15.75" thickBot="1" x14ac:dyDescent="0.3">
      <c r="A3" s="5">
        <v>2</v>
      </c>
      <c r="B3" s="6" t="s">
        <v>8</v>
      </c>
    </row>
    <row r="4" spans="1:3" ht="15.75" thickBot="1" x14ac:dyDescent="0.3">
      <c r="A4" s="5">
        <v>3</v>
      </c>
      <c r="B4" s="6" t="s">
        <v>9</v>
      </c>
    </row>
    <row r="5" spans="1:3" ht="15.75" thickBot="1" x14ac:dyDescent="0.3">
      <c r="A5" s="5">
        <v>4</v>
      </c>
      <c r="B5" s="6" t="s">
        <v>10</v>
      </c>
    </row>
    <row r="6" spans="1:3" ht="15.75" thickBot="1" x14ac:dyDescent="0.3">
      <c r="A6" s="5">
        <v>5</v>
      </c>
      <c r="B6" s="6" t="s">
        <v>11</v>
      </c>
    </row>
    <row r="7" spans="1:3" ht="15.75" thickBot="1" x14ac:dyDescent="0.3">
      <c r="A7" s="5">
        <v>6</v>
      </c>
      <c r="B7" s="6" t="s">
        <v>12</v>
      </c>
    </row>
    <row r="8" spans="1:3" ht="15.75" thickBot="1" x14ac:dyDescent="0.3">
      <c r="A8" s="5">
        <v>7</v>
      </c>
      <c r="B8" s="6" t="s">
        <v>13</v>
      </c>
    </row>
    <row r="9" spans="1:3" ht="15.75" thickBot="1" x14ac:dyDescent="0.3">
      <c r="A9" s="5">
        <v>8</v>
      </c>
      <c r="B9" s="6" t="s">
        <v>14</v>
      </c>
    </row>
    <row r="10" spans="1:3" ht="15.75" thickBot="1" x14ac:dyDescent="0.3">
      <c r="A10" s="5">
        <v>9</v>
      </c>
      <c r="B10" s="6" t="s">
        <v>15</v>
      </c>
    </row>
    <row r="11" spans="1:3" ht="15.75" thickBot="1" x14ac:dyDescent="0.3">
      <c r="A11" s="5">
        <v>10</v>
      </c>
      <c r="B11" s="6" t="s">
        <v>16</v>
      </c>
    </row>
    <row r="12" spans="1:3" ht="15.75" thickBot="1" x14ac:dyDescent="0.3">
      <c r="A12" s="5">
        <v>11</v>
      </c>
      <c r="B12" s="6" t="s">
        <v>17</v>
      </c>
    </row>
    <row r="13" spans="1:3" ht="15.75" thickBot="1" x14ac:dyDescent="0.3">
      <c r="A13" s="5">
        <v>12</v>
      </c>
      <c r="B13" s="6" t="s">
        <v>18</v>
      </c>
    </row>
    <row r="14" spans="1:3" ht="15.75" thickBot="1" x14ac:dyDescent="0.3">
      <c r="A14" s="5">
        <v>13</v>
      </c>
      <c r="B14" s="6" t="s">
        <v>20</v>
      </c>
    </row>
    <row r="15" spans="1:3" ht="15.75" thickBot="1" x14ac:dyDescent="0.3">
      <c r="A15" s="5">
        <v>14</v>
      </c>
      <c r="B15" s="6" t="s">
        <v>22</v>
      </c>
    </row>
    <row r="16" spans="1:3" ht="15.75" thickBot="1" x14ac:dyDescent="0.3">
      <c r="A16" s="5">
        <v>15</v>
      </c>
      <c r="B16" s="6" t="s">
        <v>23</v>
      </c>
    </row>
    <row r="17" spans="1:2" ht="15.75" thickBot="1" x14ac:dyDescent="0.3">
      <c r="A17" s="5">
        <v>16</v>
      </c>
      <c r="B17" s="6" t="s">
        <v>24</v>
      </c>
    </row>
    <row r="18" spans="1:2" ht="15.75" thickBot="1" x14ac:dyDescent="0.3">
      <c r="A18" s="5">
        <v>17</v>
      </c>
      <c r="B18" s="6" t="s">
        <v>25</v>
      </c>
    </row>
    <row r="19" spans="1:2" ht="15.75" thickBot="1" x14ac:dyDescent="0.3">
      <c r="A19" s="5">
        <v>18</v>
      </c>
      <c r="B19" s="6" t="s">
        <v>26</v>
      </c>
    </row>
    <row r="20" spans="1:2" ht="15.75" thickBot="1" x14ac:dyDescent="0.3">
      <c r="A20" s="5">
        <v>19</v>
      </c>
      <c r="B20" s="6" t="s">
        <v>27</v>
      </c>
    </row>
    <row r="21" spans="1:2" ht="15.75" thickBot="1" x14ac:dyDescent="0.3">
      <c r="A21" s="5">
        <v>20</v>
      </c>
      <c r="B21" s="6" t="s">
        <v>28</v>
      </c>
    </row>
    <row r="22" spans="1:2" ht="15.75" thickBot="1" x14ac:dyDescent="0.3">
      <c r="A22" s="5">
        <v>21</v>
      </c>
      <c r="B22" s="6" t="s">
        <v>29</v>
      </c>
    </row>
    <row r="23" spans="1:2" ht="15.75" thickBot="1" x14ac:dyDescent="0.3">
      <c r="A23" s="5">
        <v>22</v>
      </c>
      <c r="B23" s="6" t="s">
        <v>31</v>
      </c>
    </row>
    <row r="24" spans="1:2" ht="15.75" thickBot="1" x14ac:dyDescent="0.3">
      <c r="A24" s="5">
        <v>23</v>
      </c>
      <c r="B24" s="6" t="s">
        <v>32</v>
      </c>
    </row>
    <row r="25" spans="1:2" ht="15.75" thickBot="1" x14ac:dyDescent="0.3">
      <c r="A25" s="5">
        <v>24</v>
      </c>
      <c r="B25" s="6" t="s">
        <v>33</v>
      </c>
    </row>
    <row r="26" spans="1:2" ht="15.75" thickBot="1" x14ac:dyDescent="0.3">
      <c r="A26" s="5">
        <v>25</v>
      </c>
      <c r="B26" s="6" t="s">
        <v>34</v>
      </c>
    </row>
    <row r="27" spans="1:2" ht="15.75" thickBot="1" x14ac:dyDescent="0.3">
      <c r="A27" s="5">
        <v>26</v>
      </c>
      <c r="B27" s="6" t="s">
        <v>35</v>
      </c>
    </row>
    <row r="28" spans="1:2" ht="15.75" thickBot="1" x14ac:dyDescent="0.3">
      <c r="A28" s="5">
        <v>27</v>
      </c>
      <c r="B28" s="6" t="s">
        <v>36</v>
      </c>
    </row>
    <row r="29" spans="1:2" ht="15.75" thickBot="1" x14ac:dyDescent="0.3">
      <c r="A29" s="5">
        <v>28</v>
      </c>
      <c r="B29" s="6" t="s">
        <v>37</v>
      </c>
    </row>
    <row r="30" spans="1:2" ht="15.75" thickBot="1" x14ac:dyDescent="0.3">
      <c r="A30" s="5">
        <v>29</v>
      </c>
      <c r="B30" s="6" t="s">
        <v>38</v>
      </c>
    </row>
    <row r="31" spans="1:2" ht="15.75" thickBot="1" x14ac:dyDescent="0.3">
      <c r="A31" s="5">
        <v>30</v>
      </c>
      <c r="B31" s="6" t="s">
        <v>39</v>
      </c>
    </row>
    <row r="32" spans="1:2" ht="15.75" thickBot="1" x14ac:dyDescent="0.3">
      <c r="A32" s="5">
        <v>31</v>
      </c>
      <c r="B32" s="6" t="s">
        <v>40</v>
      </c>
    </row>
    <row r="33" spans="1:2" ht="15.75" thickBot="1" x14ac:dyDescent="0.3">
      <c r="A33" s="5">
        <v>32</v>
      </c>
      <c r="B33" s="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zoomScale="115" zoomScaleNormal="115" workbookViewId="0">
      <selection activeCell="E16" sqref="E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2">
        <f>IF(A2&gt;=80,0,(80-A2)/80*100)</f>
        <v>100</v>
      </c>
    </row>
    <row r="3" spans="1:2" x14ac:dyDescent="0.25">
      <c r="A3" s="1">
        <v>1</v>
      </c>
      <c r="B3" s="2">
        <f t="shared" ref="B3:B66" si="0">IF(A3&gt;=80,0,(80-A3)/80*100)</f>
        <v>98.75</v>
      </c>
    </row>
    <row r="4" spans="1:2" x14ac:dyDescent="0.25">
      <c r="A4" s="1">
        <v>2</v>
      </c>
      <c r="B4" s="2">
        <f t="shared" si="0"/>
        <v>97.5</v>
      </c>
    </row>
    <row r="5" spans="1:2" x14ac:dyDescent="0.25">
      <c r="A5" s="1">
        <v>3</v>
      </c>
      <c r="B5" s="2">
        <f t="shared" si="0"/>
        <v>96.25</v>
      </c>
    </row>
    <row r="6" spans="1:2" x14ac:dyDescent="0.25">
      <c r="A6" s="1">
        <v>4</v>
      </c>
      <c r="B6" s="2">
        <f t="shared" si="0"/>
        <v>95</v>
      </c>
    </row>
    <row r="7" spans="1:2" x14ac:dyDescent="0.25">
      <c r="A7" s="1">
        <v>5</v>
      </c>
      <c r="B7" s="2">
        <f t="shared" si="0"/>
        <v>93.75</v>
      </c>
    </row>
    <row r="8" spans="1:2" x14ac:dyDescent="0.25">
      <c r="A8" s="1">
        <v>6</v>
      </c>
      <c r="B8" s="2">
        <f t="shared" si="0"/>
        <v>92.5</v>
      </c>
    </row>
    <row r="9" spans="1:2" x14ac:dyDescent="0.25">
      <c r="A9" s="1">
        <v>7</v>
      </c>
      <c r="B9" s="2">
        <f t="shared" si="0"/>
        <v>91.25</v>
      </c>
    </row>
    <row r="10" spans="1:2" x14ac:dyDescent="0.25">
      <c r="A10" s="1">
        <v>8</v>
      </c>
      <c r="B10" s="2">
        <f t="shared" si="0"/>
        <v>90</v>
      </c>
    </row>
    <row r="11" spans="1:2" x14ac:dyDescent="0.25">
      <c r="A11" s="1">
        <v>9</v>
      </c>
      <c r="B11" s="2">
        <f t="shared" si="0"/>
        <v>88.75</v>
      </c>
    </row>
    <row r="12" spans="1:2" x14ac:dyDescent="0.25">
      <c r="A12" s="1">
        <v>10</v>
      </c>
      <c r="B12" s="2">
        <f t="shared" si="0"/>
        <v>87.5</v>
      </c>
    </row>
    <row r="13" spans="1:2" x14ac:dyDescent="0.25">
      <c r="A13" s="1">
        <v>11</v>
      </c>
      <c r="B13" s="2">
        <f t="shared" si="0"/>
        <v>86.25</v>
      </c>
    </row>
    <row r="14" spans="1:2" x14ac:dyDescent="0.25">
      <c r="A14" s="1">
        <v>12</v>
      </c>
      <c r="B14" s="2">
        <f t="shared" si="0"/>
        <v>85</v>
      </c>
    </row>
    <row r="15" spans="1:2" x14ac:dyDescent="0.25">
      <c r="A15" s="1">
        <v>13</v>
      </c>
      <c r="B15" s="2">
        <f t="shared" si="0"/>
        <v>83.75</v>
      </c>
    </row>
    <row r="16" spans="1:2" x14ac:dyDescent="0.25">
      <c r="A16" s="1">
        <v>14</v>
      </c>
      <c r="B16" s="2">
        <f t="shared" si="0"/>
        <v>82.5</v>
      </c>
    </row>
    <row r="17" spans="1:2" x14ac:dyDescent="0.25">
      <c r="A17" s="1">
        <v>15</v>
      </c>
      <c r="B17" s="2">
        <f t="shared" si="0"/>
        <v>81.25</v>
      </c>
    </row>
    <row r="18" spans="1:2" x14ac:dyDescent="0.25">
      <c r="A18" s="1">
        <v>16</v>
      </c>
      <c r="B18" s="2">
        <f t="shared" si="0"/>
        <v>80</v>
      </c>
    </row>
    <row r="19" spans="1:2" x14ac:dyDescent="0.25">
      <c r="A19" s="1">
        <v>17</v>
      </c>
      <c r="B19" s="2">
        <f t="shared" si="0"/>
        <v>78.75</v>
      </c>
    </row>
    <row r="20" spans="1:2" x14ac:dyDescent="0.25">
      <c r="A20" s="1">
        <v>18</v>
      </c>
      <c r="B20" s="2">
        <f t="shared" si="0"/>
        <v>77.5</v>
      </c>
    </row>
    <row r="21" spans="1:2" x14ac:dyDescent="0.25">
      <c r="A21" s="1">
        <v>19</v>
      </c>
      <c r="B21" s="2">
        <f t="shared" si="0"/>
        <v>76.25</v>
      </c>
    </row>
    <row r="22" spans="1:2" x14ac:dyDescent="0.25">
      <c r="A22" s="1">
        <v>20</v>
      </c>
      <c r="B22" s="2">
        <f t="shared" si="0"/>
        <v>75</v>
      </c>
    </row>
    <row r="23" spans="1:2" x14ac:dyDescent="0.25">
      <c r="A23" s="1">
        <v>21</v>
      </c>
      <c r="B23" s="2">
        <f t="shared" si="0"/>
        <v>73.75</v>
      </c>
    </row>
    <row r="24" spans="1:2" x14ac:dyDescent="0.25">
      <c r="A24" s="1">
        <v>22</v>
      </c>
      <c r="B24" s="2">
        <f t="shared" si="0"/>
        <v>72.5</v>
      </c>
    </row>
    <row r="25" spans="1:2" x14ac:dyDescent="0.25">
      <c r="A25" s="1">
        <v>23</v>
      </c>
      <c r="B25" s="2">
        <f t="shared" si="0"/>
        <v>71.25</v>
      </c>
    </row>
    <row r="26" spans="1:2" x14ac:dyDescent="0.25">
      <c r="A26" s="1">
        <v>24</v>
      </c>
      <c r="B26" s="2">
        <f t="shared" si="0"/>
        <v>70</v>
      </c>
    </row>
    <row r="27" spans="1:2" x14ac:dyDescent="0.25">
      <c r="A27" s="1">
        <v>25</v>
      </c>
      <c r="B27" s="2">
        <f t="shared" si="0"/>
        <v>68.75</v>
      </c>
    </row>
    <row r="28" spans="1:2" x14ac:dyDescent="0.25">
      <c r="A28" s="1">
        <v>26</v>
      </c>
      <c r="B28" s="2">
        <f t="shared" si="0"/>
        <v>67.5</v>
      </c>
    </row>
    <row r="29" spans="1:2" x14ac:dyDescent="0.25">
      <c r="A29" s="1">
        <v>27</v>
      </c>
      <c r="B29" s="2">
        <f t="shared" si="0"/>
        <v>66.25</v>
      </c>
    </row>
    <row r="30" spans="1:2" x14ac:dyDescent="0.25">
      <c r="A30" s="1">
        <v>28</v>
      </c>
      <c r="B30" s="2">
        <f t="shared" si="0"/>
        <v>65</v>
      </c>
    </row>
    <row r="31" spans="1:2" x14ac:dyDescent="0.25">
      <c r="A31" s="1">
        <v>29</v>
      </c>
      <c r="B31" s="2">
        <f t="shared" si="0"/>
        <v>63.749999999999993</v>
      </c>
    </row>
    <row r="32" spans="1:2" x14ac:dyDescent="0.25">
      <c r="A32" s="1">
        <v>30</v>
      </c>
      <c r="B32" s="2">
        <f t="shared" si="0"/>
        <v>62.5</v>
      </c>
    </row>
    <row r="33" spans="1:2" x14ac:dyDescent="0.25">
      <c r="A33" s="1">
        <v>31</v>
      </c>
      <c r="B33" s="2">
        <f t="shared" si="0"/>
        <v>61.250000000000007</v>
      </c>
    </row>
    <row r="34" spans="1:2" x14ac:dyDescent="0.25">
      <c r="A34" s="1">
        <v>32</v>
      </c>
      <c r="B34" s="2">
        <f t="shared" si="0"/>
        <v>60</v>
      </c>
    </row>
    <row r="35" spans="1:2" x14ac:dyDescent="0.25">
      <c r="A35" s="1">
        <v>33</v>
      </c>
      <c r="B35" s="2">
        <f t="shared" si="0"/>
        <v>58.75</v>
      </c>
    </row>
    <row r="36" spans="1:2" x14ac:dyDescent="0.25">
      <c r="A36" s="1">
        <v>34</v>
      </c>
      <c r="B36" s="2">
        <f t="shared" si="0"/>
        <v>57.499999999999993</v>
      </c>
    </row>
    <row r="37" spans="1:2" x14ac:dyDescent="0.25">
      <c r="A37" s="1">
        <v>35</v>
      </c>
      <c r="B37" s="2">
        <f t="shared" si="0"/>
        <v>56.25</v>
      </c>
    </row>
    <row r="38" spans="1:2" x14ac:dyDescent="0.25">
      <c r="A38" s="1">
        <v>36</v>
      </c>
      <c r="B38" s="2">
        <f t="shared" si="0"/>
        <v>55.000000000000007</v>
      </c>
    </row>
    <row r="39" spans="1:2" x14ac:dyDescent="0.25">
      <c r="A39" s="1">
        <v>37</v>
      </c>
      <c r="B39" s="2">
        <f t="shared" si="0"/>
        <v>53.75</v>
      </c>
    </row>
    <row r="40" spans="1:2" x14ac:dyDescent="0.25">
      <c r="A40" s="1">
        <v>38</v>
      </c>
      <c r="B40" s="2">
        <f t="shared" si="0"/>
        <v>52.5</v>
      </c>
    </row>
    <row r="41" spans="1:2" x14ac:dyDescent="0.25">
      <c r="A41" s="1">
        <v>39</v>
      </c>
      <c r="B41" s="2">
        <f t="shared" si="0"/>
        <v>51.249999999999993</v>
      </c>
    </row>
    <row r="42" spans="1:2" x14ac:dyDescent="0.25">
      <c r="A42" s="1">
        <v>40</v>
      </c>
      <c r="B42" s="2">
        <f t="shared" si="0"/>
        <v>50</v>
      </c>
    </row>
    <row r="43" spans="1:2" x14ac:dyDescent="0.25">
      <c r="A43" s="1">
        <v>41</v>
      </c>
      <c r="B43" s="2">
        <f t="shared" si="0"/>
        <v>48.75</v>
      </c>
    </row>
    <row r="44" spans="1:2" x14ac:dyDescent="0.25">
      <c r="A44" s="1">
        <v>42</v>
      </c>
      <c r="B44" s="2">
        <f t="shared" si="0"/>
        <v>47.5</v>
      </c>
    </row>
    <row r="45" spans="1:2" x14ac:dyDescent="0.25">
      <c r="A45" s="1">
        <v>43</v>
      </c>
      <c r="B45" s="2">
        <f t="shared" si="0"/>
        <v>46.25</v>
      </c>
    </row>
    <row r="46" spans="1:2" x14ac:dyDescent="0.25">
      <c r="A46" s="1">
        <v>44</v>
      </c>
      <c r="B46" s="2">
        <f t="shared" si="0"/>
        <v>45</v>
      </c>
    </row>
    <row r="47" spans="1:2" x14ac:dyDescent="0.25">
      <c r="A47" s="1">
        <v>45</v>
      </c>
      <c r="B47" s="2">
        <f t="shared" si="0"/>
        <v>43.75</v>
      </c>
    </row>
    <row r="48" spans="1:2" x14ac:dyDescent="0.25">
      <c r="A48" s="1">
        <v>46</v>
      </c>
      <c r="B48" s="2">
        <f t="shared" si="0"/>
        <v>42.5</v>
      </c>
    </row>
    <row r="49" spans="1:2" x14ac:dyDescent="0.25">
      <c r="A49" s="1">
        <v>47</v>
      </c>
      <c r="B49" s="2">
        <f t="shared" si="0"/>
        <v>41.25</v>
      </c>
    </row>
    <row r="50" spans="1:2" x14ac:dyDescent="0.25">
      <c r="A50" s="1">
        <v>48</v>
      </c>
      <c r="B50" s="2">
        <f t="shared" si="0"/>
        <v>40</v>
      </c>
    </row>
    <row r="51" spans="1:2" x14ac:dyDescent="0.25">
      <c r="A51" s="1">
        <v>49</v>
      </c>
      <c r="B51" s="2">
        <f t="shared" si="0"/>
        <v>38.75</v>
      </c>
    </row>
    <row r="52" spans="1:2" x14ac:dyDescent="0.25">
      <c r="A52" s="1">
        <v>50</v>
      </c>
      <c r="B52" s="2">
        <f t="shared" si="0"/>
        <v>37.5</v>
      </c>
    </row>
    <row r="53" spans="1:2" x14ac:dyDescent="0.25">
      <c r="A53" s="1">
        <v>51</v>
      </c>
      <c r="B53" s="2">
        <f t="shared" si="0"/>
        <v>36.25</v>
      </c>
    </row>
    <row r="54" spans="1:2" x14ac:dyDescent="0.25">
      <c r="A54" s="1">
        <v>52</v>
      </c>
      <c r="B54" s="2">
        <f t="shared" si="0"/>
        <v>35</v>
      </c>
    </row>
    <row r="55" spans="1:2" x14ac:dyDescent="0.25">
      <c r="A55" s="1">
        <v>53</v>
      </c>
      <c r="B55" s="2">
        <f t="shared" si="0"/>
        <v>33.75</v>
      </c>
    </row>
    <row r="56" spans="1:2" x14ac:dyDescent="0.25">
      <c r="A56" s="1">
        <v>54</v>
      </c>
      <c r="B56" s="2">
        <f t="shared" si="0"/>
        <v>32.5</v>
      </c>
    </row>
    <row r="57" spans="1:2" x14ac:dyDescent="0.25">
      <c r="A57" s="1">
        <v>55</v>
      </c>
      <c r="B57" s="2">
        <f t="shared" si="0"/>
        <v>31.25</v>
      </c>
    </row>
    <row r="58" spans="1:2" x14ac:dyDescent="0.25">
      <c r="A58" s="1">
        <v>56</v>
      </c>
      <c r="B58" s="2">
        <f t="shared" si="0"/>
        <v>30</v>
      </c>
    </row>
    <row r="59" spans="1:2" x14ac:dyDescent="0.25">
      <c r="A59" s="1">
        <v>57</v>
      </c>
      <c r="B59" s="2">
        <f t="shared" si="0"/>
        <v>28.749999999999996</v>
      </c>
    </row>
    <row r="60" spans="1:2" x14ac:dyDescent="0.25">
      <c r="A60" s="1">
        <v>58</v>
      </c>
      <c r="B60" s="2">
        <f t="shared" si="0"/>
        <v>27.500000000000004</v>
      </c>
    </row>
    <row r="61" spans="1:2" x14ac:dyDescent="0.25">
      <c r="A61" s="1">
        <v>59</v>
      </c>
      <c r="B61" s="2">
        <f t="shared" si="0"/>
        <v>26.25</v>
      </c>
    </row>
    <row r="62" spans="1:2" x14ac:dyDescent="0.25">
      <c r="A62" s="1">
        <v>60</v>
      </c>
      <c r="B62" s="2">
        <f t="shared" si="0"/>
        <v>25</v>
      </c>
    </row>
    <row r="63" spans="1:2" x14ac:dyDescent="0.25">
      <c r="A63" s="1">
        <v>61</v>
      </c>
      <c r="B63" s="2">
        <f t="shared" si="0"/>
        <v>23.75</v>
      </c>
    </row>
    <row r="64" spans="1:2" x14ac:dyDescent="0.25">
      <c r="A64" s="1">
        <v>62</v>
      </c>
      <c r="B64" s="2">
        <f t="shared" si="0"/>
        <v>22.5</v>
      </c>
    </row>
    <row r="65" spans="1:2" x14ac:dyDescent="0.25">
      <c r="A65" s="1">
        <v>63</v>
      </c>
      <c r="B65" s="2">
        <f t="shared" si="0"/>
        <v>21.25</v>
      </c>
    </row>
    <row r="66" spans="1:2" x14ac:dyDescent="0.25">
      <c r="A66" s="1">
        <v>64</v>
      </c>
      <c r="B66" s="2">
        <f t="shared" si="0"/>
        <v>20</v>
      </c>
    </row>
    <row r="67" spans="1:2" x14ac:dyDescent="0.25">
      <c r="A67" s="1">
        <v>65</v>
      </c>
      <c r="B67" s="2">
        <f t="shared" ref="B67:B102" si="1">IF(A67&gt;=80,0,(80-A67)/80*100)</f>
        <v>18.75</v>
      </c>
    </row>
    <row r="68" spans="1:2" x14ac:dyDescent="0.25">
      <c r="A68" s="1">
        <v>66</v>
      </c>
      <c r="B68" s="2">
        <f t="shared" si="1"/>
        <v>17.5</v>
      </c>
    </row>
    <row r="69" spans="1:2" x14ac:dyDescent="0.25">
      <c r="A69" s="1">
        <v>67</v>
      </c>
      <c r="B69" s="2">
        <f t="shared" si="1"/>
        <v>16.25</v>
      </c>
    </row>
    <row r="70" spans="1:2" x14ac:dyDescent="0.25">
      <c r="A70" s="1">
        <v>68</v>
      </c>
      <c r="B70" s="2">
        <f t="shared" si="1"/>
        <v>15</v>
      </c>
    </row>
    <row r="71" spans="1:2" x14ac:dyDescent="0.25">
      <c r="A71" s="1">
        <v>69</v>
      </c>
      <c r="B71" s="2">
        <f t="shared" si="1"/>
        <v>13.750000000000002</v>
      </c>
    </row>
    <row r="72" spans="1:2" x14ac:dyDescent="0.25">
      <c r="A72" s="1">
        <v>70</v>
      </c>
      <c r="B72" s="2">
        <f t="shared" si="1"/>
        <v>12.5</v>
      </c>
    </row>
    <row r="73" spans="1:2" x14ac:dyDescent="0.25">
      <c r="A73" s="1">
        <v>71</v>
      </c>
      <c r="B73" s="2">
        <f t="shared" si="1"/>
        <v>11.25</v>
      </c>
    </row>
    <row r="74" spans="1:2" x14ac:dyDescent="0.25">
      <c r="A74" s="1">
        <v>72</v>
      </c>
      <c r="B74" s="2">
        <f t="shared" si="1"/>
        <v>10</v>
      </c>
    </row>
    <row r="75" spans="1:2" x14ac:dyDescent="0.25">
      <c r="A75" s="1">
        <v>73</v>
      </c>
      <c r="B75" s="2">
        <f t="shared" si="1"/>
        <v>8.75</v>
      </c>
    </row>
    <row r="76" spans="1:2" x14ac:dyDescent="0.25">
      <c r="A76" s="1">
        <v>74</v>
      </c>
      <c r="B76" s="2">
        <f t="shared" si="1"/>
        <v>7.5</v>
      </c>
    </row>
    <row r="77" spans="1:2" x14ac:dyDescent="0.25">
      <c r="A77" s="1">
        <v>75</v>
      </c>
      <c r="B77" s="2">
        <f t="shared" si="1"/>
        <v>6.25</v>
      </c>
    </row>
    <row r="78" spans="1:2" x14ac:dyDescent="0.25">
      <c r="A78" s="1">
        <v>76</v>
      </c>
      <c r="B78" s="2">
        <f t="shared" si="1"/>
        <v>5</v>
      </c>
    </row>
    <row r="79" spans="1:2" x14ac:dyDescent="0.25">
      <c r="A79" s="1">
        <v>77</v>
      </c>
      <c r="B79" s="2">
        <f t="shared" si="1"/>
        <v>3.75</v>
      </c>
    </row>
    <row r="80" spans="1:2" x14ac:dyDescent="0.25">
      <c r="A80" s="1">
        <v>78</v>
      </c>
      <c r="B80" s="2">
        <f t="shared" si="1"/>
        <v>2.5</v>
      </c>
    </row>
    <row r="81" spans="1:2" x14ac:dyDescent="0.25">
      <c r="A81" s="1">
        <v>79</v>
      </c>
      <c r="B81" s="2">
        <f t="shared" si="1"/>
        <v>1.25</v>
      </c>
    </row>
    <row r="82" spans="1:2" x14ac:dyDescent="0.25">
      <c r="A82" s="1">
        <v>80</v>
      </c>
      <c r="B82" s="2">
        <f t="shared" si="1"/>
        <v>0</v>
      </c>
    </row>
    <row r="83" spans="1:2" x14ac:dyDescent="0.25">
      <c r="A83" s="1">
        <v>81</v>
      </c>
      <c r="B83" s="2">
        <f t="shared" si="1"/>
        <v>0</v>
      </c>
    </row>
    <row r="84" spans="1:2" x14ac:dyDescent="0.25">
      <c r="A84" s="1">
        <v>82</v>
      </c>
      <c r="B84" s="2">
        <f t="shared" si="1"/>
        <v>0</v>
      </c>
    </row>
    <row r="85" spans="1:2" x14ac:dyDescent="0.25">
      <c r="A85" s="1">
        <v>83</v>
      </c>
      <c r="B85" s="2">
        <f t="shared" si="1"/>
        <v>0</v>
      </c>
    </row>
    <row r="86" spans="1:2" x14ac:dyDescent="0.25">
      <c r="A86" s="1">
        <v>84</v>
      </c>
      <c r="B86" s="2">
        <f t="shared" si="1"/>
        <v>0</v>
      </c>
    </row>
    <row r="87" spans="1:2" x14ac:dyDescent="0.25">
      <c r="A87" s="1">
        <v>85</v>
      </c>
      <c r="B87" s="2">
        <f t="shared" si="1"/>
        <v>0</v>
      </c>
    </row>
    <row r="88" spans="1:2" x14ac:dyDescent="0.25">
      <c r="A88" s="1">
        <v>86</v>
      </c>
      <c r="B88" s="2">
        <f t="shared" si="1"/>
        <v>0</v>
      </c>
    </row>
    <row r="89" spans="1:2" x14ac:dyDescent="0.25">
      <c r="A89" s="1">
        <v>87</v>
      </c>
      <c r="B89" s="2">
        <f t="shared" si="1"/>
        <v>0</v>
      </c>
    </row>
    <row r="90" spans="1:2" x14ac:dyDescent="0.25">
      <c r="A90" s="1">
        <v>88</v>
      </c>
      <c r="B90" s="2">
        <f t="shared" si="1"/>
        <v>0</v>
      </c>
    </row>
    <row r="91" spans="1:2" x14ac:dyDescent="0.25">
      <c r="A91" s="1">
        <v>89</v>
      </c>
      <c r="B91" s="2">
        <f t="shared" si="1"/>
        <v>0</v>
      </c>
    </row>
    <row r="92" spans="1:2" x14ac:dyDescent="0.25">
      <c r="A92" s="1">
        <v>90</v>
      </c>
      <c r="B92" s="2">
        <f t="shared" si="1"/>
        <v>0</v>
      </c>
    </row>
    <row r="93" spans="1:2" x14ac:dyDescent="0.25">
      <c r="A93" s="1">
        <v>91</v>
      </c>
      <c r="B93" s="2">
        <f t="shared" si="1"/>
        <v>0</v>
      </c>
    </row>
    <row r="94" spans="1:2" x14ac:dyDescent="0.25">
      <c r="A94" s="1">
        <v>92</v>
      </c>
      <c r="B94" s="2">
        <f t="shared" si="1"/>
        <v>0</v>
      </c>
    </row>
    <row r="95" spans="1:2" x14ac:dyDescent="0.25">
      <c r="A95" s="1">
        <v>93</v>
      </c>
      <c r="B95" s="2">
        <f t="shared" si="1"/>
        <v>0</v>
      </c>
    </row>
    <row r="96" spans="1:2" x14ac:dyDescent="0.25">
      <c r="A96" s="1">
        <v>94</v>
      </c>
      <c r="B96" s="2">
        <f t="shared" si="1"/>
        <v>0</v>
      </c>
    </row>
    <row r="97" spans="1:2" x14ac:dyDescent="0.25">
      <c r="A97" s="1">
        <v>95</v>
      </c>
      <c r="B97" s="2">
        <f t="shared" si="1"/>
        <v>0</v>
      </c>
    </row>
    <row r="98" spans="1:2" x14ac:dyDescent="0.25">
      <c r="A98" s="1">
        <v>96</v>
      </c>
      <c r="B98" s="2">
        <f t="shared" si="1"/>
        <v>0</v>
      </c>
    </row>
    <row r="99" spans="1:2" x14ac:dyDescent="0.25">
      <c r="A99" s="1">
        <v>97</v>
      </c>
      <c r="B99" s="2">
        <f t="shared" si="1"/>
        <v>0</v>
      </c>
    </row>
    <row r="100" spans="1:2" x14ac:dyDescent="0.25">
      <c r="A100" s="1">
        <v>98</v>
      </c>
      <c r="B100" s="2">
        <f t="shared" si="1"/>
        <v>0</v>
      </c>
    </row>
    <row r="101" spans="1:2" x14ac:dyDescent="0.25">
      <c r="A101" s="1">
        <v>99</v>
      </c>
      <c r="B101" s="2">
        <f t="shared" si="1"/>
        <v>0</v>
      </c>
    </row>
    <row r="102" spans="1:2" x14ac:dyDescent="0.25">
      <c r="A102" s="1">
        <v>100</v>
      </c>
      <c r="B102" s="2">
        <f t="shared" si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A230-7704-4A06-9A92-445B15FE5BE9}">
  <dimension ref="A1:F34"/>
  <sheetViews>
    <sheetView zoomScale="145" zoomScaleNormal="145" workbookViewId="0">
      <selection activeCell="D11" sqref="D11"/>
    </sheetView>
  </sheetViews>
  <sheetFormatPr defaultRowHeight="15" x14ac:dyDescent="0.25"/>
  <cols>
    <col min="1" max="1" width="3.42578125" bestFit="1" customWidth="1"/>
    <col min="2" max="2" width="19.5703125" bestFit="1" customWidth="1"/>
    <col min="3" max="3" width="7.5703125" bestFit="1" customWidth="1"/>
    <col min="4" max="4" width="9.42578125" bestFit="1" customWidth="1"/>
    <col min="5" max="5" width="9.42578125" customWidth="1"/>
  </cols>
  <sheetData>
    <row r="1" spans="1:5" ht="30" x14ac:dyDescent="0.25">
      <c r="A1" s="3" t="s">
        <v>2</v>
      </c>
      <c r="B1" s="3" t="s">
        <v>3</v>
      </c>
      <c r="C1" s="14" t="s">
        <v>4</v>
      </c>
      <c r="D1" s="14" t="s">
        <v>5</v>
      </c>
      <c r="E1" s="4" t="s">
        <v>42</v>
      </c>
    </row>
    <row r="2" spans="1:5" ht="15.75" thickBot="1" x14ac:dyDescent="0.3">
      <c r="A2" s="5">
        <v>1</v>
      </c>
      <c r="B2" s="6" t="s">
        <v>6</v>
      </c>
      <c r="C2" s="7" t="s">
        <v>7</v>
      </c>
      <c r="D2" s="8">
        <v>117</v>
      </c>
      <c r="E2" s="13">
        <f>10+((D2-MIN(D$2:D$33))/(MAX(D$2:D$33)-MIN(D$2:D$33)))*(100-10)</f>
        <v>100</v>
      </c>
    </row>
    <row r="3" spans="1:5" ht="15.75" thickBot="1" x14ac:dyDescent="0.3">
      <c r="A3" s="5">
        <v>2</v>
      </c>
      <c r="B3" s="6" t="s">
        <v>8</v>
      </c>
      <c r="C3" s="7" t="s">
        <v>7</v>
      </c>
      <c r="D3" s="8">
        <v>109</v>
      </c>
      <c r="E3" s="13">
        <f t="shared" ref="E3:E33" si="0">10+((D3-MIN(D$2:D$33))/(MAX(D$2:D$33)-MIN(D$2:D$33)))*(100-10)</f>
        <v>87.368421052631575</v>
      </c>
    </row>
    <row r="4" spans="1:5" ht="15.75" thickBot="1" x14ac:dyDescent="0.3">
      <c r="A4" s="5">
        <v>3</v>
      </c>
      <c r="B4" s="6" t="s">
        <v>9</v>
      </c>
      <c r="C4" s="7" t="s">
        <v>7</v>
      </c>
      <c r="D4" s="8">
        <v>101</v>
      </c>
      <c r="E4" s="13">
        <f t="shared" si="0"/>
        <v>74.736842105263165</v>
      </c>
    </row>
    <row r="5" spans="1:5" ht="15.75" thickBot="1" x14ac:dyDescent="0.3">
      <c r="A5" s="5">
        <v>4</v>
      </c>
      <c r="B5" s="6" t="s">
        <v>10</v>
      </c>
      <c r="C5" s="7" t="s">
        <v>7</v>
      </c>
      <c r="D5" s="8">
        <v>97</v>
      </c>
      <c r="E5" s="13">
        <f t="shared" si="0"/>
        <v>68.421052631578959</v>
      </c>
    </row>
    <row r="6" spans="1:5" ht="15.75" thickBot="1" x14ac:dyDescent="0.3">
      <c r="A6" s="5">
        <v>5</v>
      </c>
      <c r="B6" s="6" t="s">
        <v>11</v>
      </c>
      <c r="C6" s="7" t="s">
        <v>7</v>
      </c>
      <c r="D6" s="8">
        <v>96</v>
      </c>
      <c r="E6" s="13">
        <f t="shared" si="0"/>
        <v>66.84210526315789</v>
      </c>
    </row>
    <row r="7" spans="1:5" ht="15.75" thickBot="1" x14ac:dyDescent="0.3">
      <c r="A7" s="5">
        <v>6</v>
      </c>
      <c r="B7" s="6" t="s">
        <v>12</v>
      </c>
      <c r="C7" s="7" t="s">
        <v>7</v>
      </c>
      <c r="D7" s="8">
        <v>89</v>
      </c>
      <c r="E7" s="13">
        <f t="shared" si="0"/>
        <v>55.789473684210527</v>
      </c>
    </row>
    <row r="8" spans="1:5" ht="15.75" thickBot="1" x14ac:dyDescent="0.3">
      <c r="A8" s="5">
        <v>7</v>
      </c>
      <c r="B8" s="6" t="s">
        <v>13</v>
      </c>
      <c r="C8" s="7" t="s">
        <v>7</v>
      </c>
      <c r="D8" s="8">
        <v>88</v>
      </c>
      <c r="E8" s="13">
        <f t="shared" si="0"/>
        <v>54.210526315789473</v>
      </c>
    </row>
    <row r="9" spans="1:5" ht="15.75" thickBot="1" x14ac:dyDescent="0.3">
      <c r="A9" s="5">
        <v>8</v>
      </c>
      <c r="B9" s="6" t="s">
        <v>14</v>
      </c>
      <c r="C9" s="7" t="s">
        <v>7</v>
      </c>
      <c r="D9" s="8">
        <v>88</v>
      </c>
      <c r="E9" s="13">
        <f t="shared" si="0"/>
        <v>54.210526315789473</v>
      </c>
    </row>
    <row r="10" spans="1:5" ht="15.75" thickBot="1" x14ac:dyDescent="0.3">
      <c r="A10" s="5">
        <v>9</v>
      </c>
      <c r="B10" s="6" t="s">
        <v>15</v>
      </c>
      <c r="C10" s="7" t="s">
        <v>7</v>
      </c>
      <c r="D10" s="8">
        <v>85</v>
      </c>
      <c r="E10" s="13">
        <f t="shared" si="0"/>
        <v>49.473684210526315</v>
      </c>
    </row>
    <row r="11" spans="1:5" ht="15.75" thickBot="1" x14ac:dyDescent="0.3">
      <c r="A11" s="5">
        <v>10</v>
      </c>
      <c r="B11" s="6" t="s">
        <v>16</v>
      </c>
      <c r="C11" s="7" t="s">
        <v>7</v>
      </c>
      <c r="D11" s="8">
        <v>83</v>
      </c>
      <c r="E11" s="13">
        <f t="shared" si="0"/>
        <v>46.315789473684205</v>
      </c>
    </row>
    <row r="12" spans="1:5" ht="15.75" thickBot="1" x14ac:dyDescent="0.3">
      <c r="A12" s="5">
        <v>11</v>
      </c>
      <c r="B12" s="6" t="s">
        <v>17</v>
      </c>
      <c r="C12" s="7" t="s">
        <v>7</v>
      </c>
      <c r="D12" s="8">
        <v>82</v>
      </c>
      <c r="E12" s="13">
        <f t="shared" si="0"/>
        <v>44.736842105263158</v>
      </c>
    </row>
    <row r="13" spans="1:5" ht="15.75" thickBot="1" x14ac:dyDescent="0.3">
      <c r="A13" s="5">
        <v>12</v>
      </c>
      <c r="B13" s="6" t="s">
        <v>18</v>
      </c>
      <c r="C13" s="7" t="s">
        <v>7</v>
      </c>
      <c r="D13" s="8">
        <v>80</v>
      </c>
      <c r="E13" s="13">
        <f t="shared" si="0"/>
        <v>41.578947368421055</v>
      </c>
    </row>
    <row r="14" spans="1:5" ht="15.75" thickBot="1" x14ac:dyDescent="0.3">
      <c r="A14" s="5">
        <v>13</v>
      </c>
      <c r="B14" s="6" t="s">
        <v>20</v>
      </c>
      <c r="C14" s="7" t="s">
        <v>21</v>
      </c>
      <c r="D14" s="8">
        <v>80</v>
      </c>
      <c r="E14" s="13">
        <f t="shared" si="0"/>
        <v>41.578947368421055</v>
      </c>
    </row>
    <row r="15" spans="1:5" ht="15.75" thickBot="1" x14ac:dyDescent="0.3">
      <c r="A15" s="5">
        <v>14</v>
      </c>
      <c r="B15" s="6" t="s">
        <v>22</v>
      </c>
      <c r="C15" s="7" t="s">
        <v>21</v>
      </c>
      <c r="D15" s="8">
        <v>80</v>
      </c>
      <c r="E15" s="13">
        <f t="shared" si="0"/>
        <v>41.578947368421055</v>
      </c>
    </row>
    <row r="16" spans="1:5" ht="15.75" thickBot="1" x14ac:dyDescent="0.3">
      <c r="A16" s="5">
        <v>15</v>
      </c>
      <c r="B16" s="6" t="s">
        <v>23</v>
      </c>
      <c r="C16" s="7" t="s">
        <v>21</v>
      </c>
      <c r="D16" s="8">
        <v>79</v>
      </c>
      <c r="E16" s="13">
        <f t="shared" si="0"/>
        <v>40</v>
      </c>
    </row>
    <row r="17" spans="1:6" ht="15.75" thickBot="1" x14ac:dyDescent="0.3">
      <c r="A17" s="5">
        <v>16</v>
      </c>
      <c r="B17" s="6" t="s">
        <v>24</v>
      </c>
      <c r="C17" s="7" t="s">
        <v>21</v>
      </c>
      <c r="D17" s="8">
        <v>78</v>
      </c>
      <c r="E17" s="13">
        <f t="shared" si="0"/>
        <v>38.421052631578945</v>
      </c>
    </row>
    <row r="18" spans="1:6" ht="15.75" thickBot="1" x14ac:dyDescent="0.3">
      <c r="A18" s="5">
        <v>17</v>
      </c>
      <c r="B18" s="6" t="s">
        <v>25</v>
      </c>
      <c r="C18" s="7" t="s">
        <v>21</v>
      </c>
      <c r="D18" s="8">
        <v>77</v>
      </c>
      <c r="E18" s="13">
        <f t="shared" si="0"/>
        <v>36.84210526315789</v>
      </c>
    </row>
    <row r="19" spans="1:6" ht="15.75" thickBot="1" x14ac:dyDescent="0.3">
      <c r="A19" s="5">
        <v>18</v>
      </c>
      <c r="B19" s="6" t="s">
        <v>26</v>
      </c>
      <c r="C19" s="7" t="s">
        <v>21</v>
      </c>
      <c r="D19" s="8">
        <v>75</v>
      </c>
      <c r="E19" s="13">
        <f t="shared" si="0"/>
        <v>33.684210526315788</v>
      </c>
      <c r="F19">
        <v>74</v>
      </c>
    </row>
    <row r="20" spans="1:6" ht="15.75" thickBot="1" x14ac:dyDescent="0.3">
      <c r="A20" s="5">
        <v>19</v>
      </c>
      <c r="B20" s="6" t="s">
        <v>27</v>
      </c>
      <c r="C20" s="7" t="s">
        <v>21</v>
      </c>
      <c r="D20" s="8">
        <v>74</v>
      </c>
      <c r="E20" s="13">
        <f t="shared" si="0"/>
        <v>32.10526315789474</v>
      </c>
      <c r="F20">
        <v>70</v>
      </c>
    </row>
    <row r="21" spans="1:6" ht="15.75" thickBot="1" x14ac:dyDescent="0.3">
      <c r="A21" s="5">
        <v>20</v>
      </c>
      <c r="B21" s="6" t="s">
        <v>28</v>
      </c>
      <c r="C21" s="7" t="s">
        <v>21</v>
      </c>
      <c r="D21" s="8">
        <v>74</v>
      </c>
      <c r="E21" s="13">
        <f t="shared" si="0"/>
        <v>32.10526315789474</v>
      </c>
      <c r="F21">
        <v>67</v>
      </c>
    </row>
    <row r="22" spans="1:6" ht="15.75" thickBot="1" x14ac:dyDescent="0.3">
      <c r="A22" s="5">
        <v>21</v>
      </c>
      <c r="B22" s="6" t="s">
        <v>29</v>
      </c>
      <c r="C22" s="7" t="s">
        <v>30</v>
      </c>
      <c r="D22" s="8">
        <v>73</v>
      </c>
      <c r="E22" s="13">
        <f t="shared" si="0"/>
        <v>30.526315789473681</v>
      </c>
    </row>
    <row r="23" spans="1:6" ht="15.75" thickBot="1" x14ac:dyDescent="0.3">
      <c r="A23" s="5">
        <v>22</v>
      </c>
      <c r="B23" s="6" t="s">
        <v>31</v>
      </c>
      <c r="C23" s="7" t="s">
        <v>30</v>
      </c>
      <c r="D23" s="8">
        <v>73</v>
      </c>
      <c r="E23" s="13">
        <f t="shared" si="0"/>
        <v>30.526315789473681</v>
      </c>
    </row>
    <row r="24" spans="1:6" ht="15.75" thickBot="1" x14ac:dyDescent="0.3">
      <c r="A24" s="5">
        <v>23</v>
      </c>
      <c r="B24" s="6" t="s">
        <v>32</v>
      </c>
      <c r="C24" s="7" t="s">
        <v>30</v>
      </c>
      <c r="D24" s="8">
        <v>73</v>
      </c>
      <c r="E24" s="13">
        <f t="shared" si="0"/>
        <v>30.526315789473681</v>
      </c>
    </row>
    <row r="25" spans="1:6" ht="15.75" thickBot="1" x14ac:dyDescent="0.3">
      <c r="A25" s="5">
        <v>24</v>
      </c>
      <c r="B25" s="6" t="s">
        <v>33</v>
      </c>
      <c r="C25" s="7" t="s">
        <v>30</v>
      </c>
      <c r="D25" s="8">
        <v>73</v>
      </c>
      <c r="E25" s="13">
        <f t="shared" si="0"/>
        <v>30.526315789473681</v>
      </c>
    </row>
    <row r="26" spans="1:6" ht="15.75" thickBot="1" x14ac:dyDescent="0.3">
      <c r="A26" s="5">
        <v>25</v>
      </c>
      <c r="B26" s="6" t="s">
        <v>34</v>
      </c>
      <c r="C26" s="7" t="s">
        <v>30</v>
      </c>
      <c r="D26" s="8">
        <v>68</v>
      </c>
      <c r="E26" s="13">
        <f t="shared" si="0"/>
        <v>22.631578947368421</v>
      </c>
    </row>
    <row r="27" spans="1:6" ht="15.75" thickBot="1" x14ac:dyDescent="0.3">
      <c r="A27" s="5">
        <v>26</v>
      </c>
      <c r="B27" s="6" t="s">
        <v>35</v>
      </c>
      <c r="C27" s="7" t="s">
        <v>30</v>
      </c>
      <c r="D27" s="8">
        <v>68</v>
      </c>
      <c r="E27" s="13">
        <f t="shared" si="0"/>
        <v>22.631578947368421</v>
      </c>
    </row>
    <row r="28" spans="1:6" ht="15.75" thickBot="1" x14ac:dyDescent="0.3">
      <c r="A28" s="5">
        <v>27</v>
      </c>
      <c r="B28" s="6" t="s">
        <v>36</v>
      </c>
      <c r="C28" s="7" t="s">
        <v>30</v>
      </c>
      <c r="D28" s="8">
        <v>67</v>
      </c>
      <c r="E28" s="13">
        <f t="shared" si="0"/>
        <v>21.05263157894737</v>
      </c>
    </row>
    <row r="29" spans="1:6" ht="15.75" thickBot="1" x14ac:dyDescent="0.3">
      <c r="A29" s="5">
        <v>28</v>
      </c>
      <c r="B29" s="6" t="s">
        <v>37</v>
      </c>
      <c r="C29" s="7" t="s">
        <v>30</v>
      </c>
      <c r="D29" s="8">
        <v>67</v>
      </c>
      <c r="E29" s="13">
        <f t="shared" si="0"/>
        <v>21.05263157894737</v>
      </c>
    </row>
    <row r="30" spans="1:6" ht="15.75" thickBot="1" x14ac:dyDescent="0.3">
      <c r="A30" s="5">
        <v>29</v>
      </c>
      <c r="B30" s="6" t="s">
        <v>38</v>
      </c>
      <c r="C30" s="7" t="s">
        <v>30</v>
      </c>
      <c r="D30" s="8">
        <v>67</v>
      </c>
      <c r="E30" s="13">
        <f t="shared" si="0"/>
        <v>21.05263157894737</v>
      </c>
    </row>
    <row r="31" spans="1:6" ht="15.75" thickBot="1" x14ac:dyDescent="0.3">
      <c r="A31" s="5">
        <v>30</v>
      </c>
      <c r="B31" s="6" t="s">
        <v>39</v>
      </c>
      <c r="C31" s="7" t="s">
        <v>30</v>
      </c>
      <c r="D31" s="8">
        <v>65</v>
      </c>
      <c r="E31" s="13">
        <f t="shared" si="0"/>
        <v>17.894736842105264</v>
      </c>
    </row>
    <row r="32" spans="1:6" ht="15.75" thickBot="1" x14ac:dyDescent="0.3">
      <c r="A32" s="5">
        <v>31</v>
      </c>
      <c r="B32" s="6" t="s">
        <v>40</v>
      </c>
      <c r="C32" s="7" t="s">
        <v>30</v>
      </c>
      <c r="D32" s="8">
        <v>64</v>
      </c>
      <c r="E32" s="13">
        <f t="shared" si="0"/>
        <v>16.315789473684212</v>
      </c>
    </row>
    <row r="33" spans="1:5" ht="15.75" thickBot="1" x14ac:dyDescent="0.3">
      <c r="A33" s="5">
        <v>32</v>
      </c>
      <c r="B33" s="6" t="s">
        <v>41</v>
      </c>
      <c r="C33" s="7" t="s">
        <v>30</v>
      </c>
      <c r="D33" s="8">
        <v>60</v>
      </c>
      <c r="E33" s="13">
        <f t="shared" si="0"/>
        <v>10</v>
      </c>
    </row>
    <row r="34" spans="1:5" ht="15.75" thickBot="1" x14ac:dyDescent="0.3">
      <c r="A34" s="12"/>
      <c r="B34" s="9" t="s">
        <v>19</v>
      </c>
      <c r="C34" s="10"/>
      <c r="D34" s="11">
        <f>SUM(D2:D33)</f>
        <v>2550</v>
      </c>
      <c r="E34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3A00-0756-441C-B4BE-0EFF02273468}">
  <dimension ref="A1:O34"/>
  <sheetViews>
    <sheetView topLeftCell="A11" zoomScale="160" zoomScaleNormal="160" workbookViewId="0">
      <selection activeCell="L17" sqref="L17:L19"/>
    </sheetView>
  </sheetViews>
  <sheetFormatPr defaultRowHeight="15" x14ac:dyDescent="0.25"/>
  <cols>
    <col min="1" max="1" width="3.42578125" bestFit="1" customWidth="1"/>
    <col min="2" max="2" width="34" customWidth="1"/>
    <col min="3" max="3" width="8.5703125" style="1" customWidth="1"/>
    <col min="4" max="4" width="10.5703125" style="1" hidden="1" customWidth="1"/>
    <col min="5" max="6" width="10.7109375" style="1" hidden="1" customWidth="1"/>
    <col min="7" max="7" width="25" style="28" customWidth="1"/>
    <col min="8" max="8" width="16.5703125" style="1" customWidth="1"/>
    <col min="9" max="9" width="12.7109375" style="28" customWidth="1"/>
    <col min="10" max="10" width="14.5703125" style="1" hidden="1" customWidth="1"/>
    <col min="11" max="11" width="19.7109375" style="1" customWidth="1"/>
  </cols>
  <sheetData>
    <row r="1" spans="1:11" s="29" customFormat="1" ht="45" x14ac:dyDescent="0.25">
      <c r="A1" s="31" t="s">
        <v>2</v>
      </c>
      <c r="B1" s="31" t="s">
        <v>43</v>
      </c>
      <c r="C1" s="31" t="s">
        <v>0</v>
      </c>
      <c r="D1" s="31" t="s">
        <v>47</v>
      </c>
      <c r="E1" s="31" t="s">
        <v>48</v>
      </c>
      <c r="F1" s="31" t="s">
        <v>49</v>
      </c>
      <c r="G1" s="32" t="s">
        <v>93</v>
      </c>
      <c r="H1" s="31" t="s">
        <v>94</v>
      </c>
      <c r="I1" s="32" t="s">
        <v>95</v>
      </c>
      <c r="J1" s="31" t="s">
        <v>46</v>
      </c>
      <c r="K1" s="32" t="s">
        <v>46</v>
      </c>
    </row>
    <row r="2" spans="1:11" x14ac:dyDescent="0.25">
      <c r="A2" s="16">
        <v>1</v>
      </c>
      <c r="B2" s="21" t="s">
        <v>50</v>
      </c>
      <c r="C2" s="18">
        <v>80</v>
      </c>
      <c r="D2" s="18">
        <v>100</v>
      </c>
      <c r="E2" s="18">
        <v>65</v>
      </c>
      <c r="F2" s="18">
        <v>0</v>
      </c>
      <c r="G2" s="27" t="s">
        <v>51</v>
      </c>
      <c r="H2" s="18">
        <f>(C2-99.167)/-14.583</f>
        <v>1.3143386134540218</v>
      </c>
      <c r="I2" s="30">
        <v>6.8</v>
      </c>
      <c r="J2" s="22">
        <f t="shared" ref="J2:J20" si="0">(H2/I2)*100</f>
        <v>19.328509021382676</v>
      </c>
      <c r="K2" s="33">
        <f>IF(C2=0,100,IF(C2&gt;=80,0,MAX(0,MIN(100,(H2/I2)*100))))</f>
        <v>0</v>
      </c>
    </row>
    <row r="3" spans="1:11" x14ac:dyDescent="0.25">
      <c r="A3" s="16">
        <v>2</v>
      </c>
      <c r="B3" s="23" t="s">
        <v>52</v>
      </c>
      <c r="C3" s="18">
        <v>99</v>
      </c>
      <c r="D3" s="18">
        <v>100</v>
      </c>
      <c r="E3" s="18">
        <v>65</v>
      </c>
      <c r="F3" s="18">
        <v>0</v>
      </c>
      <c r="G3" s="27" t="s">
        <v>53</v>
      </c>
      <c r="H3" s="18">
        <f>(C3-99.167)/-14.583</f>
        <v>1.145169032435038E-2</v>
      </c>
      <c r="I3" s="30">
        <v>7</v>
      </c>
      <c r="J3" s="18">
        <f t="shared" si="0"/>
        <v>0.16359557606214828</v>
      </c>
      <c r="K3" s="33">
        <f t="shared" ref="K3:K20" si="1">IF(C3=0,100,IF(C3&gt;=80,0,MAX(0,MIN(100,(H3/I3)*100))))</f>
        <v>0</v>
      </c>
    </row>
    <row r="4" spans="1:11" x14ac:dyDescent="0.25">
      <c r="A4" s="16">
        <v>3</v>
      </c>
      <c r="B4" s="23" t="s">
        <v>8</v>
      </c>
      <c r="C4" s="18">
        <v>80</v>
      </c>
      <c r="D4" s="18">
        <v>100</v>
      </c>
      <c r="E4" s="18">
        <v>65</v>
      </c>
      <c r="F4" s="18">
        <v>0</v>
      </c>
      <c r="G4" s="27" t="s">
        <v>54</v>
      </c>
      <c r="H4" s="18">
        <f>(C4-107.15)/-8.4176</f>
        <v>3.2253849078122037</v>
      </c>
      <c r="I4" s="30">
        <v>13</v>
      </c>
      <c r="J4" s="18">
        <f t="shared" si="0"/>
        <v>24.810653137016953</v>
      </c>
      <c r="K4" s="33">
        <f t="shared" si="1"/>
        <v>0</v>
      </c>
    </row>
    <row r="5" spans="1:11" x14ac:dyDescent="0.25">
      <c r="A5" s="16">
        <v>4</v>
      </c>
      <c r="B5" s="17" t="s">
        <v>10</v>
      </c>
      <c r="C5" s="18">
        <v>100</v>
      </c>
      <c r="D5" s="18">
        <v>100</v>
      </c>
      <c r="E5" s="18">
        <v>65</v>
      </c>
      <c r="F5" s="18">
        <v>0</v>
      </c>
      <c r="G5" s="27" t="s">
        <v>55</v>
      </c>
      <c r="H5" s="18">
        <f>(C5-101.69)/-6.2463</f>
        <v>0.27056017162159962</v>
      </c>
      <c r="I5" s="30">
        <v>16</v>
      </c>
      <c r="J5" s="18">
        <f t="shared" si="0"/>
        <v>1.6910010726349975</v>
      </c>
      <c r="K5" s="33">
        <f t="shared" si="1"/>
        <v>0</v>
      </c>
    </row>
    <row r="6" spans="1:11" x14ac:dyDescent="0.25">
      <c r="A6" s="16">
        <v>5</v>
      </c>
      <c r="B6" s="23" t="s">
        <v>56</v>
      </c>
      <c r="C6" s="18">
        <v>1</v>
      </c>
      <c r="D6" s="18">
        <v>100</v>
      </c>
      <c r="E6" s="18">
        <v>65</v>
      </c>
      <c r="F6" s="18">
        <v>0</v>
      </c>
      <c r="G6" s="27" t="s">
        <v>57</v>
      </c>
      <c r="H6" s="18">
        <f>(C6-103.3)/-2.7284</f>
        <v>37.494502272394072</v>
      </c>
      <c r="I6" s="30">
        <v>38</v>
      </c>
      <c r="J6" s="18">
        <f t="shared" si="0"/>
        <v>98.669742822089674</v>
      </c>
      <c r="K6" s="33">
        <f t="shared" si="1"/>
        <v>98.669742822089674</v>
      </c>
    </row>
    <row r="7" spans="1:11" x14ac:dyDescent="0.25">
      <c r="A7" s="16">
        <v>6</v>
      </c>
      <c r="B7" s="23" t="s">
        <v>14</v>
      </c>
      <c r="C7" s="18">
        <v>1</v>
      </c>
      <c r="D7" s="18">
        <v>100</v>
      </c>
      <c r="E7" s="18">
        <v>65</v>
      </c>
      <c r="F7" s="18">
        <v>0</v>
      </c>
      <c r="G7" s="27" t="s">
        <v>58</v>
      </c>
      <c r="H7" s="18">
        <f>(C7-99.216)/-6.027</f>
        <v>16.296001327360212</v>
      </c>
      <c r="I7" s="30">
        <v>16</v>
      </c>
      <c r="J7" s="18">
        <f t="shared" si="0"/>
        <v>101.85000829600132</v>
      </c>
      <c r="K7" s="33">
        <f t="shared" si="1"/>
        <v>100</v>
      </c>
    </row>
    <row r="8" spans="1:11" x14ac:dyDescent="0.25">
      <c r="A8" s="16">
        <v>7</v>
      </c>
      <c r="B8" s="23" t="s">
        <v>18</v>
      </c>
      <c r="C8" s="18">
        <v>1</v>
      </c>
      <c r="D8" s="18">
        <v>100</v>
      </c>
      <c r="E8" s="18">
        <v>65</v>
      </c>
      <c r="F8" s="18">
        <v>0</v>
      </c>
      <c r="G8" s="27" t="s">
        <v>59</v>
      </c>
      <c r="H8" s="18">
        <f>(C8-103.48)/-4.2834</f>
        <v>23.924919456506512</v>
      </c>
      <c r="I8" s="30">
        <v>24</v>
      </c>
      <c r="J8" s="18">
        <f t="shared" si="0"/>
        <v>99.687164402110469</v>
      </c>
      <c r="K8" s="33">
        <f t="shared" si="1"/>
        <v>99.687164402110469</v>
      </c>
    </row>
    <row r="9" spans="1:11" x14ac:dyDescent="0.25">
      <c r="A9" s="16">
        <v>8</v>
      </c>
      <c r="B9" s="17" t="s">
        <v>13</v>
      </c>
      <c r="C9" s="18">
        <v>1</v>
      </c>
      <c r="D9" s="18">
        <v>100</v>
      </c>
      <c r="E9" s="18">
        <v>65</v>
      </c>
      <c r="F9" s="18">
        <v>0</v>
      </c>
      <c r="G9" s="27" t="s">
        <v>60</v>
      </c>
      <c r="H9" s="18">
        <f>(C9-103.33)/-6.8571</f>
        <v>14.923218270114187</v>
      </c>
      <c r="I9" s="30">
        <v>15</v>
      </c>
      <c r="J9" s="18">
        <f t="shared" si="0"/>
        <v>99.488121800761249</v>
      </c>
      <c r="K9" s="33">
        <f t="shared" si="1"/>
        <v>99.488121800761249</v>
      </c>
    </row>
    <row r="10" spans="1:11" x14ac:dyDescent="0.25">
      <c r="A10" s="16">
        <v>9</v>
      </c>
      <c r="B10" s="15" t="s">
        <v>61</v>
      </c>
      <c r="C10" s="18">
        <v>1</v>
      </c>
      <c r="D10" s="18">
        <v>100</v>
      </c>
      <c r="E10" s="18">
        <v>65</v>
      </c>
      <c r="F10" s="18">
        <v>0</v>
      </c>
      <c r="G10" s="27" t="s">
        <v>62</v>
      </c>
      <c r="H10" s="18">
        <f>(C10-99.639)/-12.097</f>
        <v>8.1540051252376617</v>
      </c>
      <c r="I10" s="30">
        <v>8.1999999999999993</v>
      </c>
      <c r="J10" s="18">
        <f t="shared" si="0"/>
        <v>99.439086893142232</v>
      </c>
      <c r="K10" s="33">
        <f t="shared" si="1"/>
        <v>99.439086893142232</v>
      </c>
    </row>
    <row r="11" spans="1:11" x14ac:dyDescent="0.25">
      <c r="A11" s="16">
        <v>10</v>
      </c>
      <c r="B11" s="17" t="s">
        <v>26</v>
      </c>
      <c r="C11" s="18">
        <v>1</v>
      </c>
      <c r="D11" s="18">
        <v>100</v>
      </c>
      <c r="E11" s="18">
        <v>65</v>
      </c>
      <c r="F11" s="18">
        <v>0</v>
      </c>
      <c r="G11" s="27" t="s">
        <v>63</v>
      </c>
      <c r="H11" s="18">
        <f>(C11-104.29)/-2.7375</f>
        <v>37.731506849315075</v>
      </c>
      <c r="I11" s="30">
        <v>38</v>
      </c>
      <c r="J11" s="18">
        <f t="shared" si="0"/>
        <v>99.293439077144924</v>
      </c>
      <c r="K11" s="33">
        <f t="shared" si="1"/>
        <v>99.293439077144924</v>
      </c>
    </row>
    <row r="12" spans="1:11" x14ac:dyDescent="0.25">
      <c r="A12" s="16">
        <v>11</v>
      </c>
      <c r="B12" s="17" t="s">
        <v>25</v>
      </c>
      <c r="C12" s="18">
        <v>1</v>
      </c>
      <c r="D12" s="18">
        <v>100</v>
      </c>
      <c r="E12" s="18">
        <v>65</v>
      </c>
      <c r="F12" s="18">
        <v>0</v>
      </c>
      <c r="G12" s="27" t="s">
        <v>64</v>
      </c>
      <c r="H12" s="18">
        <f>(C12-102.73)/-2.2296</f>
        <v>45.627018299246501</v>
      </c>
      <c r="I12" s="30">
        <v>46</v>
      </c>
      <c r="J12" s="18">
        <f t="shared" si="0"/>
        <v>99.189170215753265</v>
      </c>
      <c r="K12" s="33">
        <f t="shared" si="1"/>
        <v>99.189170215753265</v>
      </c>
    </row>
    <row r="13" spans="1:11" x14ac:dyDescent="0.25">
      <c r="A13" s="16">
        <v>12</v>
      </c>
      <c r="B13" s="17" t="s">
        <v>23</v>
      </c>
      <c r="C13" s="18">
        <v>1</v>
      </c>
      <c r="D13" s="18">
        <v>100</v>
      </c>
      <c r="E13" s="18">
        <v>65</v>
      </c>
      <c r="F13" s="18">
        <v>0</v>
      </c>
      <c r="G13" s="27" t="s">
        <v>65</v>
      </c>
      <c r="H13" s="18">
        <f>(C13-102.22)/-3.2661</f>
        <v>30.991090291172959</v>
      </c>
      <c r="I13" s="30">
        <v>31</v>
      </c>
      <c r="J13" s="18">
        <f t="shared" si="0"/>
        <v>99.971259003783743</v>
      </c>
      <c r="K13" s="33">
        <f t="shared" si="1"/>
        <v>99.971259003783743</v>
      </c>
    </row>
    <row r="14" spans="1:11" x14ac:dyDescent="0.25">
      <c r="A14" s="16">
        <v>13</v>
      </c>
      <c r="B14" s="15" t="s">
        <v>28</v>
      </c>
      <c r="C14" s="18">
        <v>1</v>
      </c>
      <c r="D14" s="18">
        <v>100</v>
      </c>
      <c r="E14" s="18">
        <v>65</v>
      </c>
      <c r="F14" s="18">
        <v>0</v>
      </c>
      <c r="G14" s="27" t="s">
        <v>66</v>
      </c>
      <c r="H14" s="18">
        <f>(C14-99.164)/-11.77</f>
        <v>8.3401869158878501</v>
      </c>
      <c r="I14" s="30">
        <v>8.3000000000000007</v>
      </c>
      <c r="J14" s="18">
        <f t="shared" si="0"/>
        <v>100.48417970949217</v>
      </c>
      <c r="K14" s="33">
        <f t="shared" si="1"/>
        <v>100</v>
      </c>
    </row>
    <row r="15" spans="1:11" x14ac:dyDescent="0.25">
      <c r="A15" s="16">
        <v>14</v>
      </c>
      <c r="B15" s="23" t="s">
        <v>67</v>
      </c>
      <c r="C15" s="18">
        <v>1</v>
      </c>
      <c r="D15" s="18">
        <v>100</v>
      </c>
      <c r="E15" s="18">
        <v>65</v>
      </c>
      <c r="F15" s="18">
        <v>0</v>
      </c>
      <c r="G15" s="27" t="s">
        <v>57</v>
      </c>
      <c r="H15" s="18">
        <f>(C15-103.3)/-2.7284</f>
        <v>37.494502272394072</v>
      </c>
      <c r="I15" s="30">
        <v>38</v>
      </c>
      <c r="J15" s="18">
        <f t="shared" si="0"/>
        <v>98.669742822089674</v>
      </c>
      <c r="K15" s="33">
        <f t="shared" si="1"/>
        <v>98.669742822089674</v>
      </c>
    </row>
    <row r="16" spans="1:11" x14ac:dyDescent="0.25">
      <c r="A16" s="16">
        <v>15</v>
      </c>
      <c r="B16" s="23" t="s">
        <v>27</v>
      </c>
      <c r="C16" s="18">
        <v>1</v>
      </c>
      <c r="D16" s="18">
        <v>100</v>
      </c>
      <c r="E16" s="18">
        <v>65</v>
      </c>
      <c r="F16" s="18">
        <v>0</v>
      </c>
      <c r="G16" s="27" t="s">
        <v>68</v>
      </c>
      <c r="H16" s="18">
        <f>(C16-102.52)/-2.644</f>
        <v>38.396369137670192</v>
      </c>
      <c r="I16" s="30">
        <v>38.700000000000003</v>
      </c>
      <c r="J16" s="18">
        <f t="shared" si="0"/>
        <v>99.21542412834674</v>
      </c>
      <c r="K16" s="33">
        <f t="shared" si="1"/>
        <v>99.21542412834674</v>
      </c>
    </row>
    <row r="17" spans="1:15" x14ac:dyDescent="0.25">
      <c r="A17" s="16">
        <v>16</v>
      </c>
      <c r="B17" s="34" t="s">
        <v>69</v>
      </c>
      <c r="C17" s="18">
        <v>1</v>
      </c>
      <c r="D17" s="18">
        <v>100</v>
      </c>
      <c r="E17" s="18">
        <v>65</v>
      </c>
      <c r="F17" s="18">
        <v>0</v>
      </c>
      <c r="G17" s="27" t="s">
        <v>70</v>
      </c>
      <c r="H17" s="18">
        <f>(C17-99.435)/-3.0273</f>
        <v>32.515773131172992</v>
      </c>
      <c r="I17" s="30">
        <v>32.799999999999997</v>
      </c>
      <c r="J17" s="18">
        <f t="shared" si="0"/>
        <v>99.133454668210348</v>
      </c>
      <c r="K17" s="33">
        <f t="shared" si="1"/>
        <v>99.133454668210348</v>
      </c>
      <c r="L17" s="38">
        <f>0.4*K17+M18*K18+M19*K19</f>
        <v>99.474104714516244</v>
      </c>
      <c r="M17">
        <v>0.4</v>
      </c>
    </row>
    <row r="18" spans="1:15" x14ac:dyDescent="0.25">
      <c r="A18" s="16">
        <v>17</v>
      </c>
      <c r="B18" s="35" t="s">
        <v>71</v>
      </c>
      <c r="C18" s="18">
        <v>1</v>
      </c>
      <c r="D18" s="18">
        <v>100</v>
      </c>
      <c r="E18" s="18">
        <v>65</v>
      </c>
      <c r="F18" s="18">
        <v>0</v>
      </c>
      <c r="G18" s="27" t="s">
        <v>72</v>
      </c>
      <c r="H18" s="18">
        <f>(C18-97.564)/-3.5836</f>
        <v>26.946087733005914</v>
      </c>
      <c r="I18" s="30">
        <v>27</v>
      </c>
      <c r="J18" s="18">
        <f t="shared" si="0"/>
        <v>99.800324937058932</v>
      </c>
      <c r="K18" s="33">
        <f t="shared" si="1"/>
        <v>99.800324937058932</v>
      </c>
      <c r="L18" s="38"/>
      <c r="M18">
        <v>0.3</v>
      </c>
      <c r="O18" t="s">
        <v>96</v>
      </c>
    </row>
    <row r="19" spans="1:15" x14ac:dyDescent="0.25">
      <c r="A19" s="16">
        <v>18</v>
      </c>
      <c r="B19" s="35" t="s">
        <v>73</v>
      </c>
      <c r="C19" s="18">
        <v>1</v>
      </c>
      <c r="D19" s="18">
        <v>100</v>
      </c>
      <c r="E19" s="18">
        <v>65</v>
      </c>
      <c r="F19" s="18">
        <v>0</v>
      </c>
      <c r="G19" s="27" t="s">
        <v>74</v>
      </c>
      <c r="H19" s="18">
        <f>(C19-106.08)/-7.5357</f>
        <v>13.944291837520071</v>
      </c>
      <c r="I19" s="30">
        <v>14</v>
      </c>
      <c r="J19" s="18">
        <f t="shared" si="0"/>
        <v>99.602084553714789</v>
      </c>
      <c r="K19" s="33">
        <f t="shared" si="1"/>
        <v>99.602084553714789</v>
      </c>
      <c r="L19" s="38"/>
      <c r="M19">
        <v>0.3</v>
      </c>
    </row>
    <row r="20" spans="1:15" x14ac:dyDescent="0.25">
      <c r="A20" s="16">
        <v>19</v>
      </c>
      <c r="B20" s="23" t="s">
        <v>75</v>
      </c>
      <c r="C20" s="18">
        <v>2</v>
      </c>
      <c r="D20" s="18">
        <v>100</v>
      </c>
      <c r="E20" s="18">
        <v>65</v>
      </c>
      <c r="F20" s="18">
        <v>0</v>
      </c>
      <c r="G20" s="27" t="s">
        <v>76</v>
      </c>
      <c r="H20" s="18">
        <f>(C20-106.06)/-3.2815</f>
        <v>31.711107725125707</v>
      </c>
      <c r="I20" s="30">
        <v>32</v>
      </c>
      <c r="J20" s="18">
        <f t="shared" si="0"/>
        <v>99.097211641017836</v>
      </c>
      <c r="K20" s="33">
        <f t="shared" si="1"/>
        <v>99.097211641017836</v>
      </c>
    </row>
    <row r="21" spans="1:15" x14ac:dyDescent="0.25">
      <c r="A21" s="16">
        <v>20</v>
      </c>
      <c r="B21" s="24" t="s">
        <v>38</v>
      </c>
      <c r="C21" s="18">
        <v>1</v>
      </c>
      <c r="D21" s="18">
        <v>100</v>
      </c>
      <c r="E21" s="18">
        <v>65</v>
      </c>
      <c r="F21" s="18">
        <v>0</v>
      </c>
      <c r="G21" s="27"/>
      <c r="H21" s="18"/>
      <c r="I21" s="30"/>
      <c r="J21" s="24" t="s">
        <v>77</v>
      </c>
      <c r="K21" s="33"/>
    </row>
    <row r="22" spans="1:15" x14ac:dyDescent="0.25">
      <c r="A22" s="16">
        <v>21</v>
      </c>
      <c r="B22" s="24" t="s">
        <v>34</v>
      </c>
      <c r="C22" s="18">
        <v>1</v>
      </c>
      <c r="D22" s="18">
        <v>100</v>
      </c>
      <c r="E22" s="18">
        <v>65</v>
      </c>
      <c r="F22" s="18">
        <v>0</v>
      </c>
      <c r="G22" s="27"/>
      <c r="H22" s="18"/>
      <c r="I22" s="30"/>
      <c r="J22" s="24" t="s">
        <v>77</v>
      </c>
      <c r="K22" s="33"/>
    </row>
    <row r="23" spans="1:15" x14ac:dyDescent="0.25">
      <c r="A23" s="16">
        <v>22</v>
      </c>
      <c r="B23" s="23" t="s">
        <v>41</v>
      </c>
      <c r="C23" s="18">
        <v>1</v>
      </c>
      <c r="D23" s="18">
        <v>100</v>
      </c>
      <c r="E23" s="18">
        <v>65</v>
      </c>
      <c r="F23" s="18">
        <v>0</v>
      </c>
      <c r="G23" s="27" t="s">
        <v>78</v>
      </c>
      <c r="H23" s="18">
        <f>(C23-101.18)/-6.2868</f>
        <v>15.934974867977349</v>
      </c>
      <c r="I23" s="30">
        <v>16</v>
      </c>
      <c r="J23" s="18">
        <f t="shared" ref="J23:J32" si="2">(H23/I23)*100</f>
        <v>99.593592924858427</v>
      </c>
      <c r="K23" s="33">
        <f t="shared" ref="K23:K32" si="3">IF(C23=0,100,IF(C23&gt;=80,0,MAX(0,MIN(100,(H23/I23)*100))))</f>
        <v>99.593592924858427</v>
      </c>
    </row>
    <row r="24" spans="1:15" x14ac:dyDescent="0.25">
      <c r="A24" s="16">
        <v>23</v>
      </c>
      <c r="B24" s="23" t="s">
        <v>79</v>
      </c>
      <c r="C24" s="18">
        <v>1</v>
      </c>
      <c r="D24" s="18">
        <v>100</v>
      </c>
      <c r="E24" s="18">
        <v>65</v>
      </c>
      <c r="F24" s="18">
        <v>0</v>
      </c>
      <c r="G24" s="27" t="s">
        <v>80</v>
      </c>
      <c r="H24" s="18">
        <f>(C24-102.21)/-6.5441</f>
        <v>15.465839458443481</v>
      </c>
      <c r="I24" s="30">
        <v>15</v>
      </c>
      <c r="J24" s="18">
        <f t="shared" si="2"/>
        <v>103.1055963896232</v>
      </c>
      <c r="K24" s="33">
        <f t="shared" si="3"/>
        <v>100</v>
      </c>
    </row>
    <row r="25" spans="1:15" x14ac:dyDescent="0.25">
      <c r="A25" s="16">
        <v>24</v>
      </c>
      <c r="B25" s="34" t="s">
        <v>81</v>
      </c>
      <c r="C25" s="18">
        <v>70</v>
      </c>
      <c r="D25" s="18">
        <v>100</v>
      </c>
      <c r="E25" s="18">
        <v>65</v>
      </c>
      <c r="F25" s="18">
        <v>0</v>
      </c>
      <c r="G25" s="27" t="s">
        <v>82</v>
      </c>
      <c r="H25" s="18">
        <f>(C25-103.31)/-3.4138</f>
        <v>9.757455035444373</v>
      </c>
      <c r="I25" s="30">
        <v>30</v>
      </c>
      <c r="J25" s="18">
        <f t="shared" si="2"/>
        <v>32.52485011814791</v>
      </c>
      <c r="K25" s="33">
        <f t="shared" si="3"/>
        <v>32.52485011814791</v>
      </c>
      <c r="L25" s="38">
        <f>0.4*K25+M26*K26+M27*K27</f>
        <v>52.56207456045567</v>
      </c>
      <c r="M25">
        <v>0.4</v>
      </c>
    </row>
    <row r="26" spans="1:15" x14ac:dyDescent="0.25">
      <c r="A26" s="16">
        <v>25</v>
      </c>
      <c r="B26" s="34" t="s">
        <v>83</v>
      </c>
      <c r="C26" s="18">
        <v>50</v>
      </c>
      <c r="D26" s="18">
        <v>100</v>
      </c>
      <c r="E26" s="18">
        <v>65</v>
      </c>
      <c r="F26" s="18">
        <v>0</v>
      </c>
      <c r="G26" s="27" t="s">
        <v>84</v>
      </c>
      <c r="H26" s="18">
        <f>(C26-102.89)/-4.4763</f>
        <v>11.815561959654179</v>
      </c>
      <c r="I26" s="30">
        <v>23</v>
      </c>
      <c r="J26" s="18">
        <f t="shared" si="2"/>
        <v>51.372008520235553</v>
      </c>
      <c r="K26" s="33">
        <f t="shared" si="3"/>
        <v>51.372008520235553</v>
      </c>
      <c r="L26" s="38"/>
      <c r="M26">
        <v>0.3</v>
      </c>
    </row>
    <row r="27" spans="1:15" x14ac:dyDescent="0.25">
      <c r="A27" s="16">
        <v>26</v>
      </c>
      <c r="B27" s="35" t="s">
        <v>85</v>
      </c>
      <c r="C27" s="18">
        <v>20</v>
      </c>
      <c r="D27" s="18">
        <v>100</v>
      </c>
      <c r="E27" s="18">
        <v>65</v>
      </c>
      <c r="F27" s="18">
        <v>0</v>
      </c>
      <c r="G27" s="27" t="s">
        <v>86</v>
      </c>
      <c r="H27" s="18">
        <f>(C27-101.08)/-12.595</f>
        <v>6.437475188566891</v>
      </c>
      <c r="I27" s="30">
        <v>8</v>
      </c>
      <c r="J27" s="18">
        <f t="shared" si="2"/>
        <v>80.468439857086139</v>
      </c>
      <c r="K27" s="33">
        <f t="shared" si="3"/>
        <v>80.468439857086139</v>
      </c>
      <c r="L27" s="38"/>
      <c r="M27">
        <v>0.3</v>
      </c>
    </row>
    <row r="28" spans="1:15" x14ac:dyDescent="0.25">
      <c r="A28" s="16">
        <v>27</v>
      </c>
      <c r="B28" s="36" t="s">
        <v>87</v>
      </c>
      <c r="C28" s="18">
        <v>1</v>
      </c>
      <c r="D28" s="18">
        <v>100</v>
      </c>
      <c r="E28" s="18">
        <v>65</v>
      </c>
      <c r="F28" s="18">
        <v>0</v>
      </c>
      <c r="G28" s="27" t="s">
        <v>88</v>
      </c>
      <c r="H28" s="18">
        <f>(C28-103.9)/-4.6753</f>
        <v>22.009282826770477</v>
      </c>
      <c r="I28" s="30">
        <v>22</v>
      </c>
      <c r="J28" s="18">
        <f t="shared" si="2"/>
        <v>100.04219466713853</v>
      </c>
      <c r="K28" s="33">
        <f t="shared" si="3"/>
        <v>100</v>
      </c>
      <c r="L28" s="38">
        <f>0.4*K28+M29*K29+M30*K30</f>
        <v>99.394376477433056</v>
      </c>
      <c r="M28">
        <v>0.4</v>
      </c>
    </row>
    <row r="29" spans="1:15" x14ac:dyDescent="0.25">
      <c r="A29" s="16">
        <v>28</v>
      </c>
      <c r="B29" s="36" t="s">
        <v>89</v>
      </c>
      <c r="C29" s="18">
        <v>1</v>
      </c>
      <c r="D29" s="18">
        <v>100</v>
      </c>
      <c r="E29" s="18">
        <v>65</v>
      </c>
      <c r="F29" s="18">
        <v>0</v>
      </c>
      <c r="G29" s="27" t="s">
        <v>90</v>
      </c>
      <c r="H29" s="18">
        <f>(C29-104.29)/-4.7669</f>
        <v>21.668170089576037</v>
      </c>
      <c r="I29" s="30">
        <v>22</v>
      </c>
      <c r="J29" s="18">
        <f t="shared" si="2"/>
        <v>98.491682225345627</v>
      </c>
      <c r="K29" s="33">
        <f t="shared" si="3"/>
        <v>98.491682225345627</v>
      </c>
      <c r="L29" s="38"/>
      <c r="M29">
        <v>0.3</v>
      </c>
    </row>
    <row r="30" spans="1:15" x14ac:dyDescent="0.25">
      <c r="A30" s="16">
        <v>29</v>
      </c>
      <c r="B30" s="37" t="s">
        <v>91</v>
      </c>
      <c r="C30" s="18">
        <v>1</v>
      </c>
      <c r="D30" s="18">
        <v>100</v>
      </c>
      <c r="E30" s="18">
        <v>65</v>
      </c>
      <c r="F30" s="18">
        <v>0</v>
      </c>
      <c r="G30" s="27" t="s">
        <v>92</v>
      </c>
      <c r="H30" s="18">
        <f>(C30-103.33)/-6.857</f>
        <v>14.923435904914685</v>
      </c>
      <c r="I30" s="30">
        <v>15</v>
      </c>
      <c r="J30" s="18">
        <f t="shared" si="2"/>
        <v>99.489572699431221</v>
      </c>
      <c r="K30" s="33">
        <f t="shared" si="3"/>
        <v>99.489572699431221</v>
      </c>
      <c r="L30" s="38"/>
      <c r="M30">
        <v>0.3</v>
      </c>
    </row>
    <row r="31" spans="1:15" x14ac:dyDescent="0.25">
      <c r="A31" s="16">
        <v>30</v>
      </c>
      <c r="B31" s="23" t="s">
        <v>29</v>
      </c>
      <c r="C31" s="18">
        <v>1</v>
      </c>
      <c r="D31" s="18">
        <v>100</v>
      </c>
      <c r="E31" s="18">
        <v>65</v>
      </c>
      <c r="F31" s="18">
        <v>0</v>
      </c>
      <c r="G31" s="27" t="s">
        <v>63</v>
      </c>
      <c r="H31" s="18">
        <f>(C31-104.29)/-2.7375</f>
        <v>37.731506849315075</v>
      </c>
      <c r="I31" s="30">
        <v>38</v>
      </c>
      <c r="J31" s="18">
        <f t="shared" si="2"/>
        <v>99.293439077144924</v>
      </c>
      <c r="K31" s="33">
        <f t="shared" si="3"/>
        <v>99.293439077144924</v>
      </c>
    </row>
    <row r="32" spans="1:15" x14ac:dyDescent="0.25">
      <c r="A32" s="16">
        <v>31</v>
      </c>
      <c r="B32" s="23" t="s">
        <v>40</v>
      </c>
      <c r="C32" s="18">
        <v>1</v>
      </c>
      <c r="D32" s="18">
        <v>100</v>
      </c>
      <c r="E32" s="18">
        <v>65</v>
      </c>
      <c r="F32" s="18">
        <v>0</v>
      </c>
      <c r="G32" s="27" t="s">
        <v>84</v>
      </c>
      <c r="H32" s="18">
        <f>(C32-102.89)/-4.4763</f>
        <v>22.762102629403749</v>
      </c>
      <c r="I32" s="30">
        <v>23</v>
      </c>
      <c r="J32" s="18">
        <f t="shared" si="2"/>
        <v>98.965663606103263</v>
      </c>
      <c r="K32" s="33">
        <f t="shared" si="3"/>
        <v>98.965663606103263</v>
      </c>
    </row>
    <row r="33" spans="1:2" x14ac:dyDescent="0.25">
      <c r="A33" s="25"/>
      <c r="B33" s="26"/>
    </row>
    <row r="34" spans="1:2" x14ac:dyDescent="0.25">
      <c r="B34" s="26"/>
    </row>
  </sheetData>
  <mergeCells count="3">
    <mergeCell ref="L17:L19"/>
    <mergeCell ref="L25:L27"/>
    <mergeCell ref="L28:L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AB1C-28A1-41C0-8259-8DB2D538A0D3}">
  <dimension ref="A1:F34"/>
  <sheetViews>
    <sheetView workbookViewId="0">
      <selection activeCell="H14" sqref="H14"/>
    </sheetView>
  </sheetViews>
  <sheetFormatPr defaultRowHeight="15" x14ac:dyDescent="0.25"/>
  <cols>
    <col min="1" max="1" width="3.42578125" bestFit="1" customWidth="1"/>
    <col min="2" max="2" width="19.5703125" bestFit="1" customWidth="1"/>
    <col min="3" max="3" width="8.5703125" style="1" customWidth="1"/>
    <col min="4" max="4" width="11.42578125" style="1" customWidth="1"/>
    <col min="5" max="5" width="16.5703125" customWidth="1"/>
    <col min="6" max="6" width="9.140625" style="1"/>
  </cols>
  <sheetData>
    <row r="1" spans="1:6" x14ac:dyDescent="0.25">
      <c r="A1" s="15" t="s">
        <v>2</v>
      </c>
      <c r="B1" s="15" t="s">
        <v>43</v>
      </c>
      <c r="C1" s="18" t="s">
        <v>0</v>
      </c>
      <c r="D1" s="18" t="s">
        <v>44</v>
      </c>
      <c r="E1" s="15" t="s">
        <v>45</v>
      </c>
      <c r="F1" s="20" t="s">
        <v>46</v>
      </c>
    </row>
    <row r="2" spans="1:6" x14ac:dyDescent="0.25">
      <c r="A2" s="16">
        <v>1</v>
      </c>
      <c r="B2" s="17" t="s">
        <v>6</v>
      </c>
      <c r="C2" s="18">
        <v>20</v>
      </c>
      <c r="D2" s="19">
        <v>20</v>
      </c>
      <c r="E2" s="15"/>
      <c r="F2" s="1">
        <f>E2/D2*100</f>
        <v>0</v>
      </c>
    </row>
    <row r="3" spans="1:6" x14ac:dyDescent="0.25">
      <c r="A3" s="16">
        <v>2</v>
      </c>
      <c r="B3" s="17" t="s">
        <v>8</v>
      </c>
      <c r="C3" s="18"/>
      <c r="D3" s="18"/>
      <c r="E3" s="15"/>
    </row>
    <row r="4" spans="1:6" x14ac:dyDescent="0.25">
      <c r="A4" s="16">
        <v>3</v>
      </c>
      <c r="B4" s="17" t="s">
        <v>9</v>
      </c>
      <c r="C4" s="18"/>
      <c r="D4" s="18"/>
      <c r="E4" s="15"/>
    </row>
    <row r="5" spans="1:6" x14ac:dyDescent="0.25">
      <c r="A5" s="16">
        <v>4</v>
      </c>
      <c r="B5" s="17" t="s">
        <v>10</v>
      </c>
      <c r="C5" s="18"/>
      <c r="D5" s="18"/>
      <c r="E5" s="15"/>
    </row>
    <row r="6" spans="1:6" x14ac:dyDescent="0.25">
      <c r="A6" s="16">
        <v>5</v>
      </c>
      <c r="B6" s="17" t="s">
        <v>11</v>
      </c>
      <c r="C6" s="18"/>
      <c r="D6" s="18"/>
      <c r="E6" s="15"/>
    </row>
    <row r="7" spans="1:6" x14ac:dyDescent="0.25">
      <c r="A7" s="16"/>
      <c r="B7" s="17"/>
      <c r="C7" s="18"/>
      <c r="D7" s="18"/>
      <c r="E7" s="15"/>
    </row>
    <row r="8" spans="1:6" x14ac:dyDescent="0.25">
      <c r="A8" s="16">
        <v>6</v>
      </c>
      <c r="B8" s="17" t="s">
        <v>12</v>
      </c>
      <c r="C8" s="18"/>
      <c r="D8" s="18"/>
      <c r="E8" s="15"/>
    </row>
    <row r="9" spans="1:6" x14ac:dyDescent="0.25">
      <c r="A9" s="16">
        <v>7</v>
      </c>
      <c r="B9" s="17" t="s">
        <v>13</v>
      </c>
      <c r="C9" s="18"/>
      <c r="D9" s="18"/>
      <c r="E9" s="15"/>
    </row>
    <row r="10" spans="1:6" x14ac:dyDescent="0.25">
      <c r="A10" s="16">
        <v>8</v>
      </c>
      <c r="B10" s="17" t="s">
        <v>14</v>
      </c>
      <c r="C10" s="18"/>
      <c r="D10" s="18"/>
      <c r="E10" s="15"/>
    </row>
    <row r="11" spans="1:6" x14ac:dyDescent="0.25">
      <c r="A11" s="16">
        <v>9</v>
      </c>
      <c r="B11" s="17" t="s">
        <v>15</v>
      </c>
      <c r="C11" s="18"/>
      <c r="D11" s="18"/>
      <c r="E11" s="15"/>
    </row>
    <row r="12" spans="1:6" x14ac:dyDescent="0.25">
      <c r="A12" s="16">
        <v>10</v>
      </c>
      <c r="B12" s="17" t="s">
        <v>16</v>
      </c>
      <c r="C12" s="18"/>
      <c r="D12" s="18"/>
      <c r="E12" s="15"/>
    </row>
    <row r="13" spans="1:6" x14ac:dyDescent="0.25">
      <c r="A13" s="16">
        <v>11</v>
      </c>
      <c r="B13" s="17" t="s">
        <v>17</v>
      </c>
      <c r="C13" s="18"/>
      <c r="D13" s="18"/>
      <c r="E13" s="15"/>
    </row>
    <row r="14" spans="1:6" x14ac:dyDescent="0.25">
      <c r="A14" s="16">
        <v>12</v>
      </c>
      <c r="B14" s="17" t="s">
        <v>18</v>
      </c>
      <c r="C14" s="18"/>
      <c r="D14" s="18"/>
      <c r="E14" s="15"/>
    </row>
    <row r="15" spans="1:6" x14ac:dyDescent="0.25">
      <c r="A15" s="16">
        <v>13</v>
      </c>
      <c r="B15" s="17" t="s">
        <v>20</v>
      </c>
      <c r="C15" s="18"/>
      <c r="D15" s="18"/>
      <c r="E15" s="15"/>
    </row>
    <row r="16" spans="1:6" x14ac:dyDescent="0.25">
      <c r="A16" s="16">
        <v>14</v>
      </c>
      <c r="B16" s="17" t="s">
        <v>22</v>
      </c>
      <c r="C16" s="18"/>
      <c r="D16" s="18"/>
      <c r="E16" s="15"/>
    </row>
    <row r="17" spans="1:5" x14ac:dyDescent="0.25">
      <c r="A17" s="16">
        <v>15</v>
      </c>
      <c r="B17" s="17" t="s">
        <v>23</v>
      </c>
      <c r="C17" s="18"/>
      <c r="D17" s="18"/>
      <c r="E17" s="15"/>
    </row>
    <row r="18" spans="1:5" x14ac:dyDescent="0.25">
      <c r="A18" s="16">
        <v>16</v>
      </c>
      <c r="B18" s="17" t="s">
        <v>24</v>
      </c>
      <c r="C18" s="18"/>
      <c r="D18" s="18"/>
      <c r="E18" s="15"/>
    </row>
    <row r="19" spans="1:5" x14ac:dyDescent="0.25">
      <c r="A19" s="16">
        <v>17</v>
      </c>
      <c r="B19" s="17" t="s">
        <v>25</v>
      </c>
      <c r="C19" s="18"/>
      <c r="D19" s="18"/>
      <c r="E19" s="15"/>
    </row>
    <row r="20" spans="1:5" x14ac:dyDescent="0.25">
      <c r="A20" s="16">
        <v>18</v>
      </c>
      <c r="B20" s="17" t="s">
        <v>26</v>
      </c>
      <c r="C20" s="18"/>
      <c r="D20" s="18"/>
      <c r="E20" s="15"/>
    </row>
    <row r="21" spans="1:5" x14ac:dyDescent="0.25">
      <c r="A21" s="16">
        <v>19</v>
      </c>
      <c r="B21" s="17" t="s">
        <v>27</v>
      </c>
      <c r="C21" s="18"/>
      <c r="D21" s="18"/>
      <c r="E21" s="15"/>
    </row>
    <row r="22" spans="1:5" x14ac:dyDescent="0.25">
      <c r="A22" s="16">
        <v>20</v>
      </c>
      <c r="B22" s="17" t="s">
        <v>28</v>
      </c>
      <c r="C22" s="18"/>
      <c r="D22" s="18"/>
      <c r="E22" s="15"/>
    </row>
    <row r="23" spans="1:5" x14ac:dyDescent="0.25">
      <c r="A23" s="16">
        <v>21</v>
      </c>
      <c r="B23" s="17" t="s">
        <v>29</v>
      </c>
      <c r="C23" s="18"/>
      <c r="D23" s="18"/>
      <c r="E23" s="15"/>
    </row>
    <row r="24" spans="1:5" x14ac:dyDescent="0.25">
      <c r="A24" s="16">
        <v>22</v>
      </c>
      <c r="B24" s="17" t="s">
        <v>31</v>
      </c>
      <c r="C24" s="18"/>
      <c r="D24" s="18"/>
      <c r="E24" s="15"/>
    </row>
    <row r="25" spans="1:5" x14ac:dyDescent="0.25">
      <c r="A25" s="16">
        <v>23</v>
      </c>
      <c r="B25" s="17" t="s">
        <v>32</v>
      </c>
      <c r="C25" s="18"/>
      <c r="D25" s="18"/>
      <c r="E25" s="15"/>
    </row>
    <row r="26" spans="1:5" x14ac:dyDescent="0.25">
      <c r="A26" s="16">
        <v>24</v>
      </c>
      <c r="B26" s="17" t="s">
        <v>33</v>
      </c>
      <c r="C26" s="18"/>
      <c r="D26" s="18"/>
      <c r="E26" s="15"/>
    </row>
    <row r="27" spans="1:5" x14ac:dyDescent="0.25">
      <c r="A27" s="16">
        <v>25</v>
      </c>
      <c r="B27" s="17" t="s">
        <v>34</v>
      </c>
      <c r="C27" s="18"/>
      <c r="D27" s="18"/>
      <c r="E27" s="15"/>
    </row>
    <row r="28" spans="1:5" x14ac:dyDescent="0.25">
      <c r="A28" s="16">
        <v>26</v>
      </c>
      <c r="B28" s="17" t="s">
        <v>35</v>
      </c>
      <c r="C28" s="18"/>
      <c r="D28" s="18"/>
      <c r="E28" s="15"/>
    </row>
    <row r="29" spans="1:5" x14ac:dyDescent="0.25">
      <c r="A29" s="16">
        <v>27</v>
      </c>
      <c r="B29" s="17" t="s">
        <v>36</v>
      </c>
      <c r="C29" s="18"/>
      <c r="D29" s="18"/>
      <c r="E29" s="15"/>
    </row>
    <row r="30" spans="1:5" x14ac:dyDescent="0.25">
      <c r="A30" s="16">
        <v>28</v>
      </c>
      <c r="B30" s="17" t="s">
        <v>37</v>
      </c>
      <c r="C30" s="18"/>
      <c r="D30" s="18"/>
      <c r="E30" s="15"/>
    </row>
    <row r="31" spans="1:5" x14ac:dyDescent="0.25">
      <c r="A31" s="16">
        <v>29</v>
      </c>
      <c r="B31" s="17" t="s">
        <v>38</v>
      </c>
      <c r="C31" s="18"/>
      <c r="D31" s="18"/>
      <c r="E31" s="15"/>
    </row>
    <row r="32" spans="1:5" x14ac:dyDescent="0.25">
      <c r="A32" s="16">
        <v>30</v>
      </c>
      <c r="B32" s="17" t="s">
        <v>39</v>
      </c>
      <c r="C32" s="18"/>
      <c r="D32" s="18"/>
      <c r="E32" s="15"/>
    </row>
    <row r="33" spans="1:5" x14ac:dyDescent="0.25">
      <c r="A33" s="16">
        <v>31</v>
      </c>
      <c r="B33" s="17" t="s">
        <v>40</v>
      </c>
      <c r="C33" s="18"/>
      <c r="D33" s="18"/>
      <c r="E33" s="15"/>
    </row>
    <row r="34" spans="1:5" x14ac:dyDescent="0.25">
      <c r="A34" s="16">
        <v>32</v>
      </c>
      <c r="B34" s="17" t="s">
        <v>41</v>
      </c>
      <c r="C34" s="18"/>
      <c r="D34" s="18"/>
      <c r="E3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Priority Index Cal Sheet</vt:lpstr>
      <vt:lpstr>Condition Factor</vt:lpstr>
      <vt:lpstr>Risk Factor</vt:lpstr>
      <vt:lpstr>Functional Life Factor </vt:lpstr>
      <vt:lpstr>Functional Life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Saeed Sajjad</cp:lastModifiedBy>
  <dcterms:created xsi:type="dcterms:W3CDTF">2015-06-05T18:17:20Z</dcterms:created>
  <dcterms:modified xsi:type="dcterms:W3CDTF">2026-05-18T07:58:32Z</dcterms:modified>
</cp:coreProperties>
</file>