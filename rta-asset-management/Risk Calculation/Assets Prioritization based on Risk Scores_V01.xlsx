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66\Web\Haadi\ROW Application Calculation\Risk Calculation\"/>
    </mc:Choice>
  </mc:AlternateContent>
  <xr:revisionPtr revIDLastSave="0" documentId="13_ncr:1_{18216BC1-F0BC-4681-AF08-2F0EE6D6730A}" xr6:coauthVersionLast="47" xr6:coauthVersionMax="47" xr10:uidLastSave="{00000000-0000-0000-0000-000000000000}"/>
  <bookViews>
    <workbookView xWindow="-120" yWindow="-120" windowWidth="29040" windowHeight="15720" tabRatio="769" firstSheet="2" activeTab="2" xr2:uid="{9B391D06-0C45-4D22-B434-2FC3E2554AD0}"/>
  </bookViews>
  <sheets>
    <sheet name="Summary" sheetId="4" state="hidden" r:id="rId1"/>
    <sheet name="Summary_original" sheetId="2" state="hidden" r:id="rId2"/>
    <sheet name="Risk Score" sheetId="1" r:id="rId3"/>
  </sheets>
  <definedNames>
    <definedName name="_xlnm._FilterDatabase" localSheetId="0" hidden="1">Summary!$A$24:$E$36</definedName>
    <definedName name="_Hlk160971531" localSheetId="2">'Risk Score'!$C$61</definedName>
    <definedName name="_Hlk160971531" localSheetId="0">Summary!#REF!</definedName>
    <definedName name="_Hlk160971531" localSheetId="1">Summary_original!#REF!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7" i="4" l="1"/>
  <c r="D26" i="4" s="1"/>
  <c r="C24" i="4"/>
  <c r="D17" i="4" s="1"/>
  <c r="C15" i="4"/>
  <c r="D12" i="4" s="1"/>
  <c r="D9" i="4" l="1"/>
  <c r="D8" i="4"/>
  <c r="D21" i="4"/>
  <c r="D19" i="4"/>
  <c r="D18" i="4"/>
  <c r="D22" i="4"/>
  <c r="D20" i="4"/>
  <c r="D33" i="4"/>
  <c r="D11" i="4"/>
  <c r="D10" i="4"/>
  <c r="D7" i="4"/>
  <c r="D6" i="4"/>
  <c r="D5" i="4"/>
  <c r="D4" i="4"/>
  <c r="D16" i="4"/>
  <c r="D23" i="4"/>
  <c r="D25" i="4"/>
  <c r="D36" i="4"/>
  <c r="D35" i="4"/>
  <c r="D34" i="4"/>
  <c r="D32" i="4"/>
  <c r="D30" i="4"/>
  <c r="D31" i="4"/>
  <c r="D29" i="4"/>
  <c r="D3" i="4"/>
  <c r="D14" i="4"/>
  <c r="D28" i="4"/>
  <c r="D13" i="4"/>
  <c r="D27" i="4"/>
  <c r="E152" i="1"/>
  <c r="E148" i="1"/>
  <c r="E144" i="1"/>
  <c r="E140" i="1"/>
  <c r="E136" i="1"/>
  <c r="E132" i="1"/>
  <c r="E128" i="1" l="1"/>
  <c r="E124" i="1"/>
  <c r="E120" i="1"/>
  <c r="E100" i="1" l="1"/>
  <c r="E116" i="1"/>
  <c r="E112" i="1"/>
  <c r="E108" i="1"/>
  <c r="E104" i="1"/>
  <c r="E96" i="1"/>
  <c r="E92" i="1"/>
  <c r="E88" i="1"/>
  <c r="E84" i="1"/>
  <c r="E80" i="1"/>
  <c r="E76" i="1"/>
  <c r="E72" i="1"/>
  <c r="E68" i="1"/>
  <c r="E16" i="1"/>
  <c r="E64" i="1"/>
  <c r="E56" i="1"/>
  <c r="E52" i="1"/>
  <c r="E44" i="1"/>
  <c r="E48" i="1"/>
  <c r="E40" i="1"/>
  <c r="E32" i="1"/>
  <c r="E36" i="1"/>
  <c r="E24" i="1"/>
  <c r="E28" i="1"/>
  <c r="E20" i="1"/>
  <c r="E8" i="1"/>
  <c r="E12" i="1"/>
  <c r="E4" i="1"/>
</calcChain>
</file>

<file path=xl/sharedStrings.xml><?xml version="1.0" encoding="utf-8"?>
<sst xmlns="http://schemas.openxmlformats.org/spreadsheetml/2006/main" count="301" uniqueCount="56">
  <si>
    <t>SN</t>
  </si>
  <si>
    <t>Asset Name</t>
  </si>
  <si>
    <t xml:space="preserve">Risk Category </t>
  </si>
  <si>
    <t>Risk Score</t>
  </si>
  <si>
    <t>Bollards</t>
  </si>
  <si>
    <t>Natural events and hazards</t>
  </si>
  <si>
    <t>External impacts on the agency</t>
  </si>
  <si>
    <t>Physical asset failures</t>
  </si>
  <si>
    <t>Operational risk events</t>
  </si>
  <si>
    <t>Camel Grid</t>
  </si>
  <si>
    <t>Crash Cushion</t>
  </si>
  <si>
    <t>Curb Stone</t>
  </si>
  <si>
    <t>Fence</t>
  </si>
  <si>
    <t>Footpath</t>
  </si>
  <si>
    <t>Guardrail</t>
  </si>
  <si>
    <t>Gully</t>
  </si>
  <si>
    <t>Barrier</t>
  </si>
  <si>
    <t>Manhole</t>
  </si>
  <si>
    <t>Pedestrian Crossing</t>
  </si>
  <si>
    <t>Road Gantry</t>
  </si>
  <si>
    <t>Road Hump</t>
  </si>
  <si>
    <t>Road Marking</t>
  </si>
  <si>
    <t>Road Sign</t>
  </si>
  <si>
    <t>Pedestrian-Related Risks (Residential Road Network)</t>
  </si>
  <si>
    <t>Technological Impairments Due to Faded Road Markings (Higher Functional Class)</t>
  </si>
  <si>
    <t>Risks Impacting Dubai's Future Vision Regarding Autonomous Vehicles</t>
  </si>
  <si>
    <t>Effect on Worldwide Standing</t>
  </si>
  <si>
    <t>Island</t>
  </si>
  <si>
    <t>Decorative Furniture</t>
  </si>
  <si>
    <t>Streetlight</t>
  </si>
  <si>
    <t>Landscape</t>
  </si>
  <si>
    <t>Benches</t>
  </si>
  <si>
    <t>Drainage Point</t>
  </si>
  <si>
    <t>Road Studs</t>
  </si>
  <si>
    <t>Wooden Deck</t>
  </si>
  <si>
    <t>Public Sheds</t>
  </si>
  <si>
    <t>Cycle Rack</t>
  </si>
  <si>
    <t>Pergolas</t>
  </si>
  <si>
    <t>Parking Tent</t>
  </si>
  <si>
    <t>Jogging Track</t>
  </si>
  <si>
    <t>Total Risk Score</t>
  </si>
  <si>
    <t>Summary of Risk Score for all the Assets</t>
  </si>
  <si>
    <t>Category Wise Risk Score for all the Assets</t>
  </si>
  <si>
    <t>Pavement</t>
  </si>
  <si>
    <t>Importance Level</t>
  </si>
  <si>
    <t>H</t>
  </si>
  <si>
    <t>Traffic Signal</t>
  </si>
  <si>
    <t>M</t>
  </si>
  <si>
    <t>L</t>
  </si>
  <si>
    <t>Roadside Camera</t>
  </si>
  <si>
    <t>Control Cabinet</t>
  </si>
  <si>
    <t>Median</t>
  </si>
  <si>
    <t>Parking</t>
  </si>
  <si>
    <t>Layby</t>
  </si>
  <si>
    <t>Total</t>
  </si>
  <si>
    <t>Importance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</si>
</sst>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Dubai"/>
      <family val="2"/>
    </font>
    <font>
      <b/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color rgb="FF000000"/>
      <name val="Duba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5D14-E3E9-4BA0-9101-2AB0D8236A1F}">
  <dimension ref="A1:F37"/>
  <sheetViews>
    <sheetView zoomScaleNormal="100" workbookViewId="0">
      <selection activeCell="G13" sqref="G13"/>
    </sheetView>
  </sheetViews>
  <sheetFormatPr defaultColWidth="8.85546875" defaultRowHeight="15" x14ac:dyDescent="0.25"/>
  <cols>
    <col min="2" max="2" width="32.5703125" style="9" customWidth="1"/>
    <col min="3" max="4" width="11.140625" style="1" customWidth="1"/>
    <col min="5" max="5" width="16.42578125" style="1" bestFit="1" customWidth="1"/>
    <col min="6" max="6" width="8.85546875" style="1"/>
  </cols>
  <sheetData>
    <row r="1" spans="1:6" ht="29.25" customHeight="1" x14ac:dyDescent="0.25">
      <c r="A1" s="33" t="s">
        <v>41</v>
      </c>
      <c r="B1" s="33"/>
      <c r="C1" s="33"/>
      <c r="D1" s="33"/>
      <c r="E1" s="33"/>
    </row>
    <row r="2" spans="1:6" s="2" customFormat="1" ht="34.5" customHeight="1" x14ac:dyDescent="0.25">
      <c r="A2" s="4" t="s">
        <v>0</v>
      </c>
      <c r="B2" s="8" t="s">
        <v>1</v>
      </c>
      <c r="C2" s="10" t="s">
        <v>40</v>
      </c>
      <c r="D2" s="10" t="s">
        <v>55</v>
      </c>
      <c r="E2" s="10" t="s">
        <v>44</v>
      </c>
      <c r="F2" s="18"/>
    </row>
    <row r="3" spans="1:6" x14ac:dyDescent="0.25">
      <c r="A3" s="17">
        <v>1</v>
      </c>
      <c r="B3" s="16" t="s">
        <v>46</v>
      </c>
      <c r="C3" s="17">
        <v>117</v>
      </c>
      <c r="D3" s="21">
        <f>C3/$C$15</f>
        <v>0.10493273542600896</v>
      </c>
      <c r="E3" s="17" t="s">
        <v>45</v>
      </c>
    </row>
    <row r="4" spans="1:6" x14ac:dyDescent="0.25">
      <c r="A4" s="6">
        <v>2</v>
      </c>
      <c r="B4" s="15" t="s">
        <v>22</v>
      </c>
      <c r="C4" s="6">
        <v>109</v>
      </c>
      <c r="D4" s="21">
        <f t="shared" ref="D4:D14" si="0">C4/$C$15</f>
        <v>9.7757847533632286E-2</v>
      </c>
      <c r="E4" s="17" t="s">
        <v>45</v>
      </c>
    </row>
    <row r="5" spans="1:6" x14ac:dyDescent="0.25">
      <c r="A5" s="6">
        <v>3</v>
      </c>
      <c r="B5" s="15" t="s">
        <v>29</v>
      </c>
      <c r="C5" s="6">
        <v>101</v>
      </c>
      <c r="D5" s="21">
        <f t="shared" si="0"/>
        <v>9.0582959641255609E-2</v>
      </c>
      <c r="E5" s="17" t="s">
        <v>45</v>
      </c>
    </row>
    <row r="6" spans="1:6" x14ac:dyDescent="0.25">
      <c r="A6" s="17">
        <v>4</v>
      </c>
      <c r="B6" s="15" t="s">
        <v>10</v>
      </c>
      <c r="C6" s="6">
        <v>97</v>
      </c>
      <c r="D6" s="21">
        <f t="shared" si="0"/>
        <v>8.6995515695067263E-2</v>
      </c>
      <c r="E6" s="17" t="s">
        <v>45</v>
      </c>
    </row>
    <row r="7" spans="1:6" x14ac:dyDescent="0.25">
      <c r="A7" s="6">
        <v>5</v>
      </c>
      <c r="B7" s="15" t="s">
        <v>21</v>
      </c>
      <c r="C7" s="6">
        <v>96</v>
      </c>
      <c r="D7" s="21">
        <f t="shared" si="0"/>
        <v>8.6098654708520184E-2</v>
      </c>
      <c r="E7" s="17" t="s">
        <v>45</v>
      </c>
    </row>
    <row r="8" spans="1:6" x14ac:dyDescent="0.25">
      <c r="A8" s="6">
        <v>6</v>
      </c>
      <c r="B8" s="15" t="s">
        <v>20</v>
      </c>
      <c r="C8" s="6">
        <v>89</v>
      </c>
      <c r="D8" s="21">
        <f t="shared" si="0"/>
        <v>7.9820627802690586E-2</v>
      </c>
      <c r="E8" s="17" t="s">
        <v>45</v>
      </c>
    </row>
    <row r="9" spans="1:6" x14ac:dyDescent="0.25">
      <c r="A9" s="17">
        <v>7</v>
      </c>
      <c r="B9" s="15" t="s">
        <v>33</v>
      </c>
      <c r="C9" s="6">
        <v>88</v>
      </c>
      <c r="D9" s="21">
        <f t="shared" si="0"/>
        <v>7.8923766816143492E-2</v>
      </c>
      <c r="E9" s="17" t="s">
        <v>45</v>
      </c>
    </row>
    <row r="10" spans="1:6" x14ac:dyDescent="0.25">
      <c r="A10" s="6">
        <v>8</v>
      </c>
      <c r="B10" s="16" t="s">
        <v>16</v>
      </c>
      <c r="C10" s="17">
        <v>88</v>
      </c>
      <c r="D10" s="21">
        <f t="shared" si="0"/>
        <v>7.8923766816143492E-2</v>
      </c>
      <c r="E10" s="17" t="s">
        <v>45</v>
      </c>
    </row>
    <row r="11" spans="1:6" x14ac:dyDescent="0.25">
      <c r="A11" s="6">
        <v>9</v>
      </c>
      <c r="B11" s="16" t="s">
        <v>14</v>
      </c>
      <c r="C11" s="17">
        <v>85</v>
      </c>
      <c r="D11" s="21">
        <f t="shared" si="0"/>
        <v>7.623318385650224E-2</v>
      </c>
      <c r="E11" s="17" t="s">
        <v>45</v>
      </c>
    </row>
    <row r="12" spans="1:6" x14ac:dyDescent="0.25">
      <c r="A12" s="17">
        <v>10</v>
      </c>
      <c r="B12" s="15" t="s">
        <v>19</v>
      </c>
      <c r="C12" s="6">
        <v>83</v>
      </c>
      <c r="D12" s="21">
        <f t="shared" si="0"/>
        <v>7.4439461883408067E-2</v>
      </c>
      <c r="E12" s="17" t="s">
        <v>45</v>
      </c>
    </row>
    <row r="13" spans="1:6" x14ac:dyDescent="0.25">
      <c r="A13" s="6">
        <v>11</v>
      </c>
      <c r="B13" s="15" t="s">
        <v>18</v>
      </c>
      <c r="C13" s="6">
        <v>82</v>
      </c>
      <c r="D13" s="21">
        <f t="shared" si="0"/>
        <v>7.3542600896860988E-2</v>
      </c>
      <c r="E13" s="17" t="s">
        <v>45</v>
      </c>
    </row>
    <row r="14" spans="1:6" x14ac:dyDescent="0.25">
      <c r="A14" s="6">
        <v>12</v>
      </c>
      <c r="B14" s="15" t="s">
        <v>12</v>
      </c>
      <c r="C14" s="6">
        <v>80</v>
      </c>
      <c r="D14" s="21">
        <f t="shared" si="0"/>
        <v>7.1748878923766815E-2</v>
      </c>
      <c r="E14" s="17" t="s">
        <v>45</v>
      </c>
    </row>
    <row r="15" spans="1:6" x14ac:dyDescent="0.25">
      <c r="A15" s="6"/>
      <c r="B15" s="23" t="s">
        <v>54</v>
      </c>
      <c r="C15" s="24">
        <f>SUM(C3:C14)</f>
        <v>1115</v>
      </c>
      <c r="D15" s="22"/>
      <c r="E15" s="17"/>
    </row>
    <row r="16" spans="1:6" x14ac:dyDescent="0.25">
      <c r="A16" s="17">
        <v>13</v>
      </c>
      <c r="B16" s="16" t="s">
        <v>49</v>
      </c>
      <c r="C16" s="17">
        <v>80</v>
      </c>
      <c r="D16" s="21">
        <f t="shared" ref="D16:D23" si="1">C16/$C$24</f>
        <v>0.13223140495867769</v>
      </c>
      <c r="E16" s="17" t="s">
        <v>47</v>
      </c>
    </row>
    <row r="17" spans="1:5" x14ac:dyDescent="0.25">
      <c r="A17" s="17">
        <v>14</v>
      </c>
      <c r="B17" s="16" t="s">
        <v>50</v>
      </c>
      <c r="C17" s="17">
        <v>80</v>
      </c>
      <c r="D17" s="21">
        <f t="shared" si="1"/>
        <v>0.13223140495867769</v>
      </c>
      <c r="E17" s="17" t="s">
        <v>47</v>
      </c>
    </row>
    <row r="18" spans="1:5" x14ac:dyDescent="0.25">
      <c r="A18" s="17">
        <v>15</v>
      </c>
      <c r="B18" s="15" t="s">
        <v>17</v>
      </c>
      <c r="C18" s="6">
        <v>79</v>
      </c>
      <c r="D18" s="21">
        <f t="shared" si="1"/>
        <v>0.13057851239669421</v>
      </c>
      <c r="E18" s="17" t="s">
        <v>47</v>
      </c>
    </row>
    <row r="19" spans="1:5" x14ac:dyDescent="0.25">
      <c r="A19" s="17">
        <v>16</v>
      </c>
      <c r="B19" s="15" t="s">
        <v>32</v>
      </c>
      <c r="C19" s="6">
        <v>78</v>
      </c>
      <c r="D19" s="21">
        <f t="shared" si="1"/>
        <v>0.12892561983471074</v>
      </c>
      <c r="E19" s="17" t="s">
        <v>47</v>
      </c>
    </row>
    <row r="20" spans="1:5" x14ac:dyDescent="0.25">
      <c r="A20" s="17">
        <v>17</v>
      </c>
      <c r="B20" s="15" t="s">
        <v>11</v>
      </c>
      <c r="C20" s="6">
        <v>77</v>
      </c>
      <c r="D20" s="21">
        <f t="shared" si="1"/>
        <v>0.12727272727272726</v>
      </c>
      <c r="E20" s="17" t="s">
        <v>47</v>
      </c>
    </row>
    <row r="21" spans="1:5" x14ac:dyDescent="0.25">
      <c r="A21" s="17">
        <v>18</v>
      </c>
      <c r="B21" s="15" t="s">
        <v>13</v>
      </c>
      <c r="C21" s="6">
        <v>74</v>
      </c>
      <c r="D21" s="21">
        <f t="shared" si="1"/>
        <v>0.12231404958677686</v>
      </c>
      <c r="E21" s="17" t="s">
        <v>47</v>
      </c>
    </row>
    <row r="22" spans="1:5" x14ac:dyDescent="0.25">
      <c r="A22" s="17">
        <v>19</v>
      </c>
      <c r="B22" s="15" t="s">
        <v>15</v>
      </c>
      <c r="C22" s="6">
        <v>70</v>
      </c>
      <c r="D22" s="21">
        <f t="shared" si="1"/>
        <v>0.11570247933884298</v>
      </c>
      <c r="E22" s="17" t="s">
        <v>47</v>
      </c>
    </row>
    <row r="23" spans="1:5" x14ac:dyDescent="0.25">
      <c r="A23" s="17">
        <v>20</v>
      </c>
      <c r="B23" s="15" t="s">
        <v>4</v>
      </c>
      <c r="C23" s="6">
        <v>67</v>
      </c>
      <c r="D23" s="21">
        <f t="shared" si="1"/>
        <v>0.11074380165289256</v>
      </c>
      <c r="E23" s="17" t="s">
        <v>47</v>
      </c>
    </row>
    <row r="24" spans="1:5" x14ac:dyDescent="0.25">
      <c r="A24" s="19"/>
      <c r="B24" s="23" t="s">
        <v>54</v>
      </c>
      <c r="C24" s="25">
        <f>SUM(C16:C23)</f>
        <v>605</v>
      </c>
      <c r="D24" s="17"/>
      <c r="E24" s="17"/>
    </row>
    <row r="25" spans="1:5" x14ac:dyDescent="0.25">
      <c r="A25" s="6">
        <v>21</v>
      </c>
      <c r="B25" s="15" t="s">
        <v>27</v>
      </c>
      <c r="C25" s="6">
        <v>73</v>
      </c>
      <c r="D25" s="21">
        <f>C25/$C$37</f>
        <v>8.9242053789731046E-2</v>
      </c>
      <c r="E25" s="17" t="s">
        <v>48</v>
      </c>
    </row>
    <row r="26" spans="1:5" x14ac:dyDescent="0.25">
      <c r="A26" s="17">
        <v>22</v>
      </c>
      <c r="B26" s="16" t="s">
        <v>51</v>
      </c>
      <c r="C26" s="17">
        <v>73</v>
      </c>
      <c r="D26" s="21">
        <f t="shared" ref="D26:D36" si="2">C26/$C$37</f>
        <v>8.9242053789731046E-2</v>
      </c>
      <c r="E26" s="17" t="s">
        <v>48</v>
      </c>
    </row>
    <row r="27" spans="1:5" x14ac:dyDescent="0.25">
      <c r="A27" s="17">
        <v>23</v>
      </c>
      <c r="B27" s="16" t="s">
        <v>52</v>
      </c>
      <c r="C27" s="17">
        <v>73</v>
      </c>
      <c r="D27" s="21">
        <f t="shared" si="2"/>
        <v>8.9242053789731046E-2</v>
      </c>
      <c r="E27" s="17" t="s">
        <v>48</v>
      </c>
    </row>
    <row r="28" spans="1:5" x14ac:dyDescent="0.25">
      <c r="A28" s="6">
        <v>24</v>
      </c>
      <c r="B28" s="16" t="s">
        <v>53</v>
      </c>
      <c r="C28" s="17">
        <v>73</v>
      </c>
      <c r="D28" s="21">
        <f t="shared" si="2"/>
        <v>8.9242053789731046E-2</v>
      </c>
      <c r="E28" s="17" t="s">
        <v>48</v>
      </c>
    </row>
    <row r="29" spans="1:5" x14ac:dyDescent="0.25">
      <c r="A29" s="17">
        <v>25</v>
      </c>
      <c r="B29" s="15" t="s">
        <v>28</v>
      </c>
      <c r="C29" s="6">
        <v>68</v>
      </c>
      <c r="D29" s="21">
        <f t="shared" si="2"/>
        <v>8.3129584352078234E-2</v>
      </c>
      <c r="E29" s="17" t="s">
        <v>48</v>
      </c>
    </row>
    <row r="30" spans="1:5" x14ac:dyDescent="0.25">
      <c r="A30" s="17">
        <v>26</v>
      </c>
      <c r="B30" s="15" t="s">
        <v>36</v>
      </c>
      <c r="C30" s="6">
        <v>68</v>
      </c>
      <c r="D30" s="21">
        <f t="shared" si="2"/>
        <v>8.3129584352078234E-2</v>
      </c>
      <c r="E30" s="17" t="s">
        <v>48</v>
      </c>
    </row>
    <row r="31" spans="1:5" x14ac:dyDescent="0.25">
      <c r="A31" s="6">
        <v>27</v>
      </c>
      <c r="B31" s="15" t="s">
        <v>38</v>
      </c>
      <c r="C31" s="6">
        <v>67</v>
      </c>
      <c r="D31" s="21">
        <f t="shared" si="2"/>
        <v>8.190709046454768E-2</v>
      </c>
      <c r="E31" s="17" t="s">
        <v>48</v>
      </c>
    </row>
    <row r="32" spans="1:5" x14ac:dyDescent="0.25">
      <c r="A32" s="17">
        <v>28</v>
      </c>
      <c r="B32" s="15" t="s">
        <v>37</v>
      </c>
      <c r="C32" s="6">
        <v>67</v>
      </c>
      <c r="D32" s="21">
        <f t="shared" si="2"/>
        <v>8.190709046454768E-2</v>
      </c>
      <c r="E32" s="17" t="s">
        <v>48</v>
      </c>
    </row>
    <row r="33" spans="1:5" x14ac:dyDescent="0.25">
      <c r="A33" s="17">
        <v>29</v>
      </c>
      <c r="B33" s="15" t="s">
        <v>30</v>
      </c>
      <c r="C33" s="6">
        <v>67</v>
      </c>
      <c r="D33" s="21">
        <f t="shared" si="2"/>
        <v>8.190709046454768E-2</v>
      </c>
      <c r="E33" s="17" t="s">
        <v>48</v>
      </c>
    </row>
    <row r="34" spans="1:5" x14ac:dyDescent="0.25">
      <c r="A34" s="6">
        <v>30</v>
      </c>
      <c r="B34" s="15" t="s">
        <v>35</v>
      </c>
      <c r="C34" s="6">
        <v>65</v>
      </c>
      <c r="D34" s="21">
        <f t="shared" si="2"/>
        <v>7.9462102689486558E-2</v>
      </c>
      <c r="E34" s="17" t="s">
        <v>48</v>
      </c>
    </row>
    <row r="35" spans="1:5" x14ac:dyDescent="0.25">
      <c r="A35" s="17">
        <v>31</v>
      </c>
      <c r="B35" s="15" t="s">
        <v>9</v>
      </c>
      <c r="C35" s="6">
        <v>64</v>
      </c>
      <c r="D35" s="21">
        <f t="shared" si="2"/>
        <v>7.823960880195599E-2</v>
      </c>
      <c r="E35" s="17" t="s">
        <v>48</v>
      </c>
    </row>
    <row r="36" spans="1:5" x14ac:dyDescent="0.25">
      <c r="A36" s="17">
        <v>32</v>
      </c>
      <c r="B36" s="15" t="s">
        <v>31</v>
      </c>
      <c r="C36" s="6">
        <v>60</v>
      </c>
      <c r="D36" s="21">
        <f t="shared" si="2"/>
        <v>7.3349633251833746E-2</v>
      </c>
      <c r="E36" s="17" t="s">
        <v>48</v>
      </c>
    </row>
    <row r="37" spans="1:5" x14ac:dyDescent="0.25">
      <c r="A37" s="19"/>
      <c r="B37" s="23" t="s">
        <v>54</v>
      </c>
      <c r="C37" s="25">
        <f>SUM(C25:C36)</f>
        <v>818</v>
      </c>
      <c r="D37" s="17"/>
      <c r="E37" s="1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FC65-8702-4659-A7E4-83512488751B}">
  <dimension ref="A1:D31"/>
  <sheetViews>
    <sheetView workbookViewId="0">
      <selection activeCell="F8" sqref="F8"/>
    </sheetView>
  </sheetViews>
  <sheetFormatPr defaultColWidth="8.85546875" defaultRowHeight="15" x14ac:dyDescent="0.25"/>
  <cols>
    <col min="2" max="2" width="32.5703125" style="9" customWidth="1"/>
    <col min="3" max="3" width="11.140625" customWidth="1"/>
    <col min="4" max="4" width="8.85546875" style="1"/>
  </cols>
  <sheetData>
    <row r="1" spans="1:4" ht="29.25" customHeight="1" x14ac:dyDescent="0.25">
      <c r="A1" s="33" t="s">
        <v>41</v>
      </c>
      <c r="B1" s="34"/>
      <c r="C1" s="34"/>
    </row>
    <row r="2" spans="1:4" s="2" customFormat="1" ht="25.5" customHeight="1" x14ac:dyDescent="0.25">
      <c r="A2" s="4" t="s">
        <v>0</v>
      </c>
      <c r="B2" s="8" t="s">
        <v>1</v>
      </c>
      <c r="C2" s="10" t="s">
        <v>40</v>
      </c>
    </row>
    <row r="3" spans="1:4" x14ac:dyDescent="0.25">
      <c r="A3" s="13">
        <v>1</v>
      </c>
      <c r="B3" s="14" t="s">
        <v>4</v>
      </c>
      <c r="C3" s="13">
        <v>67</v>
      </c>
      <c r="D3"/>
    </row>
    <row r="4" spans="1:4" x14ac:dyDescent="0.25">
      <c r="A4" s="6">
        <v>2</v>
      </c>
      <c r="B4" s="15" t="s">
        <v>9</v>
      </c>
      <c r="C4" s="6">
        <v>64</v>
      </c>
      <c r="D4"/>
    </row>
    <row r="5" spans="1:4" x14ac:dyDescent="0.25">
      <c r="A5" s="6">
        <v>3</v>
      </c>
      <c r="B5" s="15" t="s">
        <v>10</v>
      </c>
      <c r="C5" s="6">
        <v>76</v>
      </c>
      <c r="D5"/>
    </row>
    <row r="6" spans="1:4" x14ac:dyDescent="0.25">
      <c r="A6" s="6">
        <v>4</v>
      </c>
      <c r="B6" s="15" t="s">
        <v>11</v>
      </c>
      <c r="C6" s="6">
        <v>94</v>
      </c>
      <c r="D6"/>
    </row>
    <row r="7" spans="1:4" x14ac:dyDescent="0.25">
      <c r="A7" s="6">
        <v>5</v>
      </c>
      <c r="B7" s="15" t="s">
        <v>12</v>
      </c>
      <c r="C7" s="6">
        <v>70</v>
      </c>
      <c r="D7"/>
    </row>
    <row r="8" spans="1:4" x14ac:dyDescent="0.25">
      <c r="A8" s="6">
        <v>6</v>
      </c>
      <c r="B8" s="15" t="s">
        <v>13</v>
      </c>
      <c r="C8" s="6">
        <v>74</v>
      </c>
      <c r="D8"/>
    </row>
    <row r="9" spans="1:4" x14ac:dyDescent="0.25">
      <c r="A9" s="6">
        <v>8</v>
      </c>
      <c r="B9" s="15" t="s">
        <v>15</v>
      </c>
      <c r="C9" s="6">
        <v>70</v>
      </c>
      <c r="D9"/>
    </row>
    <row r="10" spans="1:4" x14ac:dyDescent="0.25">
      <c r="A10" s="6">
        <v>10</v>
      </c>
      <c r="B10" s="15" t="s">
        <v>17</v>
      </c>
      <c r="C10" s="6">
        <v>79</v>
      </c>
      <c r="D10"/>
    </row>
    <row r="11" spans="1:4" x14ac:dyDescent="0.25">
      <c r="A11" s="6">
        <v>11</v>
      </c>
      <c r="B11" s="15" t="s">
        <v>18</v>
      </c>
      <c r="C11" s="6">
        <v>82</v>
      </c>
      <c r="D11"/>
    </row>
    <row r="12" spans="1:4" x14ac:dyDescent="0.25">
      <c r="A12" s="6">
        <v>12</v>
      </c>
      <c r="B12" s="15" t="s">
        <v>19</v>
      </c>
      <c r="C12" s="6">
        <v>69</v>
      </c>
      <c r="D12"/>
    </row>
    <row r="13" spans="1:4" x14ac:dyDescent="0.25">
      <c r="A13" s="6">
        <v>13</v>
      </c>
      <c r="B13" s="15" t="s">
        <v>20</v>
      </c>
      <c r="C13" s="6">
        <v>89</v>
      </c>
      <c r="D13"/>
    </row>
    <row r="14" spans="1:4" x14ac:dyDescent="0.25">
      <c r="A14" s="6">
        <v>14</v>
      </c>
      <c r="B14" s="15" t="s">
        <v>21</v>
      </c>
      <c r="C14" s="6">
        <v>86</v>
      </c>
      <c r="D14"/>
    </row>
    <row r="15" spans="1:4" x14ac:dyDescent="0.25">
      <c r="A15" s="6">
        <v>15</v>
      </c>
      <c r="B15" s="15" t="s">
        <v>22</v>
      </c>
      <c r="C15" s="6">
        <v>109</v>
      </c>
      <c r="D15"/>
    </row>
    <row r="16" spans="1:4" x14ac:dyDescent="0.25">
      <c r="A16" s="6">
        <v>16</v>
      </c>
      <c r="B16" s="15" t="s">
        <v>27</v>
      </c>
      <c r="C16" s="6">
        <v>73</v>
      </c>
      <c r="D16"/>
    </row>
    <row r="17" spans="1:4" x14ac:dyDescent="0.25">
      <c r="A17" s="6">
        <v>17</v>
      </c>
      <c r="B17" s="15" t="s">
        <v>29</v>
      </c>
      <c r="C17" s="6">
        <v>101</v>
      </c>
      <c r="D17"/>
    </row>
    <row r="18" spans="1:4" x14ac:dyDescent="0.25">
      <c r="A18" s="6">
        <v>18</v>
      </c>
      <c r="B18" s="15" t="s">
        <v>28</v>
      </c>
      <c r="C18" s="6">
        <v>68</v>
      </c>
      <c r="D18"/>
    </row>
    <row r="19" spans="1:4" x14ac:dyDescent="0.25">
      <c r="A19" s="6">
        <v>19</v>
      </c>
      <c r="B19" s="15" t="s">
        <v>30</v>
      </c>
      <c r="C19" s="6">
        <v>76</v>
      </c>
      <c r="D19"/>
    </row>
    <row r="20" spans="1:4" x14ac:dyDescent="0.25">
      <c r="A20" s="6">
        <v>20</v>
      </c>
      <c r="B20" s="15" t="s">
        <v>33</v>
      </c>
      <c r="C20" s="6">
        <v>96</v>
      </c>
      <c r="D20"/>
    </row>
    <row r="21" spans="1:4" x14ac:dyDescent="0.25">
      <c r="A21" s="6">
        <v>21</v>
      </c>
      <c r="B21" s="15" t="s">
        <v>31</v>
      </c>
      <c r="C21" s="6">
        <v>60</v>
      </c>
      <c r="D21"/>
    </row>
    <row r="22" spans="1:4" x14ac:dyDescent="0.25">
      <c r="A22" s="6">
        <v>22</v>
      </c>
      <c r="B22" s="15" t="s">
        <v>36</v>
      </c>
      <c r="C22" s="6">
        <v>68</v>
      </c>
      <c r="D22"/>
    </row>
    <row r="23" spans="1:4" x14ac:dyDescent="0.25">
      <c r="A23" s="6">
        <v>23</v>
      </c>
      <c r="B23" s="15" t="s">
        <v>32</v>
      </c>
      <c r="C23" s="6">
        <v>78</v>
      </c>
      <c r="D23"/>
    </row>
    <row r="24" spans="1:4" x14ac:dyDescent="0.25">
      <c r="A24" s="6">
        <v>24</v>
      </c>
      <c r="B24" s="15" t="s">
        <v>39</v>
      </c>
      <c r="C24" s="6">
        <v>59</v>
      </c>
      <c r="D24"/>
    </row>
    <row r="25" spans="1:4" x14ac:dyDescent="0.25">
      <c r="A25" s="6">
        <v>25</v>
      </c>
      <c r="B25" s="15" t="s">
        <v>38</v>
      </c>
      <c r="C25" s="6">
        <v>67</v>
      </c>
      <c r="D25"/>
    </row>
    <row r="26" spans="1:4" x14ac:dyDescent="0.25">
      <c r="A26" s="6">
        <v>26</v>
      </c>
      <c r="B26" s="15" t="s">
        <v>37</v>
      </c>
      <c r="C26" s="6">
        <v>67</v>
      </c>
      <c r="D26"/>
    </row>
    <row r="27" spans="1:4" x14ac:dyDescent="0.25">
      <c r="A27" s="6">
        <v>27</v>
      </c>
      <c r="B27" s="15" t="s">
        <v>35</v>
      </c>
      <c r="C27" s="6">
        <v>65</v>
      </c>
      <c r="D27"/>
    </row>
    <row r="28" spans="1:4" x14ac:dyDescent="0.25">
      <c r="A28" s="6">
        <v>28</v>
      </c>
      <c r="B28" s="15" t="s">
        <v>34</v>
      </c>
      <c r="C28" s="6">
        <v>51</v>
      </c>
      <c r="D28"/>
    </row>
    <row r="29" spans="1:4" x14ac:dyDescent="0.25">
      <c r="A29" s="6">
        <v>29</v>
      </c>
      <c r="B29" s="16" t="s">
        <v>14</v>
      </c>
      <c r="C29" s="17">
        <v>85</v>
      </c>
      <c r="D29"/>
    </row>
    <row r="30" spans="1:4" x14ac:dyDescent="0.25">
      <c r="A30" s="6">
        <v>30</v>
      </c>
      <c r="B30" s="16" t="s">
        <v>16</v>
      </c>
      <c r="C30" s="17">
        <v>88</v>
      </c>
    </row>
    <row r="31" spans="1:4" x14ac:dyDescent="0.25">
      <c r="A31" s="6">
        <v>31</v>
      </c>
      <c r="B31" s="16" t="s">
        <v>43</v>
      </c>
      <c r="C31" s="17">
        <v>74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E8CA-FC07-476C-9E60-B928E6438983}">
  <dimension ref="A1:F155"/>
  <sheetViews>
    <sheetView tabSelected="1" workbookViewId="0">
      <selection activeCell="J18" sqref="J18"/>
    </sheetView>
  </sheetViews>
  <sheetFormatPr defaultColWidth="8.85546875" defaultRowHeight="15" x14ac:dyDescent="0.25"/>
  <cols>
    <col min="2" max="2" width="17.85546875" bestFit="1" customWidth="1"/>
    <col min="3" max="3" width="41.140625" customWidth="1"/>
    <col min="4" max="4" width="10.5703125" style="1" customWidth="1"/>
    <col min="5" max="5" width="10.85546875" style="1" customWidth="1"/>
  </cols>
  <sheetData>
    <row r="1" spans="1:6" ht="25.5" customHeight="1" x14ac:dyDescent="0.25">
      <c r="A1" s="32" t="s">
        <v>42</v>
      </c>
      <c r="B1" s="32"/>
      <c r="C1" s="32"/>
      <c r="D1" s="32"/>
      <c r="E1" s="32"/>
    </row>
    <row r="3" spans="1:6" s="2" customFormat="1" ht="31.5" customHeight="1" x14ac:dyDescent="0.25">
      <c r="A3" s="4" t="s">
        <v>0</v>
      </c>
      <c r="B3" s="3" t="s">
        <v>1</v>
      </c>
      <c r="C3" s="3" t="s">
        <v>2</v>
      </c>
      <c r="D3" s="4" t="s">
        <v>3</v>
      </c>
      <c r="E3" s="10" t="s">
        <v>40</v>
      </c>
    </row>
    <row r="4" spans="1:6" ht="21" x14ac:dyDescent="0.25">
      <c r="A4" s="26">
        <v>1</v>
      </c>
      <c r="B4" s="30" t="s">
        <v>4</v>
      </c>
      <c r="C4" s="5" t="s">
        <v>5</v>
      </c>
      <c r="D4" s="6">
        <v>10</v>
      </c>
      <c r="E4" s="26">
        <f>SUM(D4:D7)</f>
        <v>67</v>
      </c>
    </row>
    <row r="5" spans="1:6" ht="21" x14ac:dyDescent="0.25">
      <c r="A5" s="26"/>
      <c r="B5" s="30"/>
      <c r="C5" s="5" t="s">
        <v>6</v>
      </c>
      <c r="D5" s="6">
        <v>20</v>
      </c>
      <c r="E5" s="26"/>
    </row>
    <row r="6" spans="1:6" ht="21" x14ac:dyDescent="0.25">
      <c r="A6" s="26"/>
      <c r="B6" s="30"/>
      <c r="C6" s="5" t="s">
        <v>7</v>
      </c>
      <c r="D6" s="6">
        <v>23</v>
      </c>
      <c r="E6" s="26"/>
    </row>
    <row r="7" spans="1:6" ht="21" x14ac:dyDescent="0.25">
      <c r="A7" s="26"/>
      <c r="B7" s="30"/>
      <c r="C7" s="5" t="s">
        <v>8</v>
      </c>
      <c r="D7" s="6">
        <v>14</v>
      </c>
      <c r="E7" s="26"/>
    </row>
    <row r="8" spans="1:6" ht="21" x14ac:dyDescent="0.25">
      <c r="A8" s="26">
        <v>2</v>
      </c>
      <c r="B8" s="30" t="s">
        <v>9</v>
      </c>
      <c r="C8" s="7" t="s">
        <v>5</v>
      </c>
      <c r="D8" s="6">
        <v>6</v>
      </c>
      <c r="E8" s="26">
        <f>SUM(D8:D11)</f>
        <v>64</v>
      </c>
    </row>
    <row r="9" spans="1:6" ht="21" x14ac:dyDescent="0.25">
      <c r="A9" s="26"/>
      <c r="B9" s="30"/>
      <c r="C9" s="7" t="s">
        <v>6</v>
      </c>
      <c r="D9" s="6">
        <v>14</v>
      </c>
      <c r="E9" s="26"/>
    </row>
    <row r="10" spans="1:6" ht="21" x14ac:dyDescent="0.25">
      <c r="A10" s="26"/>
      <c r="B10" s="30"/>
      <c r="C10" s="7" t="s">
        <v>7</v>
      </c>
      <c r="D10" s="6">
        <v>27</v>
      </c>
      <c r="E10" s="26"/>
    </row>
    <row r="11" spans="1:6" ht="21" x14ac:dyDescent="0.25">
      <c r="A11" s="26"/>
      <c r="B11" s="30"/>
      <c r="C11" s="7" t="s">
        <v>8</v>
      </c>
      <c r="D11" s="6">
        <v>17</v>
      </c>
      <c r="E11" s="26"/>
    </row>
    <row r="12" spans="1:6" ht="21" x14ac:dyDescent="0.25">
      <c r="A12" s="26">
        <v>3</v>
      </c>
      <c r="B12" s="30" t="s">
        <v>10</v>
      </c>
      <c r="C12" s="7" t="s">
        <v>5</v>
      </c>
      <c r="D12" s="20">
        <v>6</v>
      </c>
      <c r="E12" s="31">
        <f>SUM(D12:D15)</f>
        <v>97</v>
      </c>
    </row>
    <row r="13" spans="1:6" ht="21" x14ac:dyDescent="0.25">
      <c r="A13" s="26"/>
      <c r="B13" s="30"/>
      <c r="C13" s="7" t="s">
        <v>6</v>
      </c>
      <c r="D13" s="20">
        <v>36</v>
      </c>
      <c r="E13" s="31"/>
      <c r="F13">
        <v>20</v>
      </c>
    </row>
    <row r="14" spans="1:6" ht="21" x14ac:dyDescent="0.25">
      <c r="A14" s="26"/>
      <c r="B14" s="30"/>
      <c r="C14" s="7" t="s">
        <v>7</v>
      </c>
      <c r="D14" s="20">
        <v>36</v>
      </c>
      <c r="E14" s="31"/>
    </row>
    <row r="15" spans="1:6" ht="21" x14ac:dyDescent="0.25">
      <c r="A15" s="26"/>
      <c r="B15" s="30"/>
      <c r="C15" s="7" t="s">
        <v>8</v>
      </c>
      <c r="D15" s="20">
        <v>19</v>
      </c>
      <c r="E15" s="31"/>
    </row>
    <row r="16" spans="1:6" ht="21" x14ac:dyDescent="0.25">
      <c r="A16" s="26">
        <v>4</v>
      </c>
      <c r="B16" s="30" t="s">
        <v>11</v>
      </c>
      <c r="C16" s="7" t="s">
        <v>5</v>
      </c>
      <c r="D16" s="6">
        <v>8</v>
      </c>
      <c r="E16" s="26">
        <f>SUM(D16:D19)</f>
        <v>77</v>
      </c>
    </row>
    <row r="17" spans="1:5" ht="21" x14ac:dyDescent="0.25">
      <c r="A17" s="26"/>
      <c r="B17" s="30"/>
      <c r="C17" s="7" t="s">
        <v>6</v>
      </c>
      <c r="D17" s="6">
        <v>36</v>
      </c>
      <c r="E17" s="26"/>
    </row>
    <row r="18" spans="1:5" ht="21" x14ac:dyDescent="0.25">
      <c r="A18" s="26"/>
      <c r="B18" s="30"/>
      <c r="C18" s="7" t="s">
        <v>7</v>
      </c>
      <c r="D18" s="6">
        <v>20</v>
      </c>
      <c r="E18" s="26"/>
    </row>
    <row r="19" spans="1:5" ht="21" x14ac:dyDescent="0.25">
      <c r="A19" s="26"/>
      <c r="B19" s="30"/>
      <c r="C19" s="7" t="s">
        <v>8</v>
      </c>
      <c r="D19" s="6">
        <v>13</v>
      </c>
      <c r="E19" s="26"/>
    </row>
    <row r="20" spans="1:5" ht="21" x14ac:dyDescent="0.25">
      <c r="A20" s="26">
        <v>5</v>
      </c>
      <c r="B20" s="30" t="s">
        <v>12</v>
      </c>
      <c r="C20" s="7" t="s">
        <v>5</v>
      </c>
      <c r="D20" s="6">
        <v>10</v>
      </c>
      <c r="E20" s="26">
        <f>SUM(D20:D23)</f>
        <v>80</v>
      </c>
    </row>
    <row r="21" spans="1:5" ht="21" x14ac:dyDescent="0.25">
      <c r="A21" s="26"/>
      <c r="B21" s="30"/>
      <c r="C21" s="7" t="s">
        <v>6</v>
      </c>
      <c r="D21" s="6">
        <v>24</v>
      </c>
      <c r="E21" s="26"/>
    </row>
    <row r="22" spans="1:5" ht="21" x14ac:dyDescent="0.25">
      <c r="A22" s="26"/>
      <c r="B22" s="30"/>
      <c r="C22" s="7" t="s">
        <v>7</v>
      </c>
      <c r="D22" s="6">
        <v>34</v>
      </c>
      <c r="E22" s="26"/>
    </row>
    <row r="23" spans="1:5" ht="21" x14ac:dyDescent="0.25">
      <c r="A23" s="26"/>
      <c r="B23" s="30"/>
      <c r="C23" s="7" t="s">
        <v>8</v>
      </c>
      <c r="D23" s="6">
        <v>12</v>
      </c>
      <c r="E23" s="26"/>
    </row>
    <row r="24" spans="1:5" ht="21" x14ac:dyDescent="0.25">
      <c r="A24" s="26">
        <v>6</v>
      </c>
      <c r="B24" s="30" t="s">
        <v>13</v>
      </c>
      <c r="C24" s="7" t="s">
        <v>5</v>
      </c>
      <c r="D24" s="6">
        <v>10</v>
      </c>
      <c r="E24" s="26">
        <f>SUM(D24:D27)</f>
        <v>74</v>
      </c>
    </row>
    <row r="25" spans="1:5" ht="21" x14ac:dyDescent="0.25">
      <c r="A25" s="26"/>
      <c r="B25" s="30"/>
      <c r="C25" s="7" t="s">
        <v>6</v>
      </c>
      <c r="D25" s="6">
        <v>29</v>
      </c>
      <c r="E25" s="26"/>
    </row>
    <row r="26" spans="1:5" ht="21" x14ac:dyDescent="0.25">
      <c r="A26" s="26"/>
      <c r="B26" s="30"/>
      <c r="C26" s="7" t="s">
        <v>7</v>
      </c>
      <c r="D26" s="6">
        <v>16</v>
      </c>
      <c r="E26" s="26"/>
    </row>
    <row r="27" spans="1:5" ht="21" x14ac:dyDescent="0.25">
      <c r="A27" s="26"/>
      <c r="B27" s="30"/>
      <c r="C27" s="7" t="s">
        <v>8</v>
      </c>
      <c r="D27" s="6">
        <v>19</v>
      </c>
      <c r="E27" s="26"/>
    </row>
    <row r="28" spans="1:5" ht="21" x14ac:dyDescent="0.25">
      <c r="A28" s="26">
        <v>7</v>
      </c>
      <c r="B28" s="30" t="s">
        <v>14</v>
      </c>
      <c r="C28" s="7" t="s">
        <v>5</v>
      </c>
      <c r="D28" s="6">
        <v>6</v>
      </c>
      <c r="E28" s="26">
        <f>SUM(D28:D31)</f>
        <v>85</v>
      </c>
    </row>
    <row r="29" spans="1:5" ht="21" x14ac:dyDescent="0.25">
      <c r="A29" s="26"/>
      <c r="B29" s="30"/>
      <c r="C29" s="7" t="s">
        <v>6</v>
      </c>
      <c r="D29" s="6">
        <v>35</v>
      </c>
      <c r="E29" s="26"/>
    </row>
    <row r="30" spans="1:5" ht="21" x14ac:dyDescent="0.25">
      <c r="A30" s="26"/>
      <c r="B30" s="30"/>
      <c r="C30" s="7" t="s">
        <v>7</v>
      </c>
      <c r="D30" s="6">
        <v>26</v>
      </c>
      <c r="E30" s="26"/>
    </row>
    <row r="31" spans="1:5" ht="21" x14ac:dyDescent="0.25">
      <c r="A31" s="26"/>
      <c r="B31" s="30"/>
      <c r="C31" s="7" t="s">
        <v>8</v>
      </c>
      <c r="D31" s="6">
        <v>18</v>
      </c>
      <c r="E31" s="26"/>
    </row>
    <row r="32" spans="1:5" ht="21" x14ac:dyDescent="0.25">
      <c r="A32" s="26">
        <v>8</v>
      </c>
      <c r="B32" s="30" t="s">
        <v>15</v>
      </c>
      <c r="C32" s="7" t="s">
        <v>5</v>
      </c>
      <c r="D32" s="6">
        <v>11</v>
      </c>
      <c r="E32" s="26">
        <f>SUM(D32:D35)</f>
        <v>70</v>
      </c>
    </row>
    <row r="33" spans="1:5" ht="21" x14ac:dyDescent="0.25">
      <c r="A33" s="26"/>
      <c r="B33" s="30"/>
      <c r="C33" s="7" t="s">
        <v>6</v>
      </c>
      <c r="D33" s="6">
        <v>22</v>
      </c>
      <c r="E33" s="26"/>
    </row>
    <row r="34" spans="1:5" ht="21" x14ac:dyDescent="0.25">
      <c r="A34" s="26"/>
      <c r="B34" s="30"/>
      <c r="C34" s="7" t="s">
        <v>7</v>
      </c>
      <c r="D34" s="6">
        <v>25</v>
      </c>
      <c r="E34" s="26"/>
    </row>
    <row r="35" spans="1:5" ht="21" x14ac:dyDescent="0.25">
      <c r="A35" s="26"/>
      <c r="B35" s="30"/>
      <c r="C35" s="7" t="s">
        <v>8</v>
      </c>
      <c r="D35" s="6">
        <v>12</v>
      </c>
      <c r="E35" s="26"/>
    </row>
    <row r="36" spans="1:5" ht="21" x14ac:dyDescent="0.25">
      <c r="A36" s="26">
        <v>9</v>
      </c>
      <c r="B36" s="30" t="s">
        <v>16</v>
      </c>
      <c r="C36" s="7" t="s">
        <v>5</v>
      </c>
      <c r="D36" s="6">
        <v>8</v>
      </c>
      <c r="E36" s="26">
        <f>SUM(D36:D39)</f>
        <v>88</v>
      </c>
    </row>
    <row r="37" spans="1:5" ht="21" x14ac:dyDescent="0.25">
      <c r="A37" s="26"/>
      <c r="B37" s="30"/>
      <c r="C37" s="7" t="s">
        <v>6</v>
      </c>
      <c r="D37" s="6">
        <v>36</v>
      </c>
      <c r="E37" s="26"/>
    </row>
    <row r="38" spans="1:5" ht="21" x14ac:dyDescent="0.25">
      <c r="A38" s="26"/>
      <c r="B38" s="30"/>
      <c r="C38" s="7" t="s">
        <v>7</v>
      </c>
      <c r="D38" s="6">
        <v>23</v>
      </c>
      <c r="E38" s="26"/>
    </row>
    <row r="39" spans="1:5" ht="21" x14ac:dyDescent="0.25">
      <c r="A39" s="26"/>
      <c r="B39" s="30"/>
      <c r="C39" s="7" t="s">
        <v>8</v>
      </c>
      <c r="D39" s="6">
        <v>21</v>
      </c>
      <c r="E39" s="26"/>
    </row>
    <row r="40" spans="1:5" ht="21" x14ac:dyDescent="0.25">
      <c r="A40" s="26">
        <v>10</v>
      </c>
      <c r="B40" s="30" t="s">
        <v>17</v>
      </c>
      <c r="C40" s="7" t="s">
        <v>5</v>
      </c>
      <c r="D40" s="6">
        <v>11</v>
      </c>
      <c r="E40" s="26">
        <f>SUM(D40:D43)</f>
        <v>79</v>
      </c>
    </row>
    <row r="41" spans="1:5" ht="21" x14ac:dyDescent="0.25">
      <c r="A41" s="26"/>
      <c r="B41" s="30"/>
      <c r="C41" s="7" t="s">
        <v>6</v>
      </c>
      <c r="D41" s="6">
        <v>20</v>
      </c>
      <c r="E41" s="26"/>
    </row>
    <row r="42" spans="1:5" ht="21" x14ac:dyDescent="0.25">
      <c r="A42" s="26"/>
      <c r="B42" s="30"/>
      <c r="C42" s="7" t="s">
        <v>7</v>
      </c>
      <c r="D42" s="6">
        <v>27</v>
      </c>
      <c r="E42" s="26"/>
    </row>
    <row r="43" spans="1:5" ht="21" x14ac:dyDescent="0.25">
      <c r="A43" s="26"/>
      <c r="B43" s="30"/>
      <c r="C43" s="7" t="s">
        <v>8</v>
      </c>
      <c r="D43" s="6">
        <v>21</v>
      </c>
      <c r="E43" s="26"/>
    </row>
    <row r="44" spans="1:5" ht="21" x14ac:dyDescent="0.25">
      <c r="A44" s="26">
        <v>11</v>
      </c>
      <c r="B44" s="30" t="s">
        <v>18</v>
      </c>
      <c r="C44" s="7" t="s">
        <v>5</v>
      </c>
      <c r="D44" s="6">
        <v>9</v>
      </c>
      <c r="E44" s="26">
        <f>SUM(D44:D47)</f>
        <v>82</v>
      </c>
    </row>
    <row r="45" spans="1:5" ht="21" x14ac:dyDescent="0.25">
      <c r="A45" s="26"/>
      <c r="B45" s="30"/>
      <c r="C45" s="7" t="s">
        <v>6</v>
      </c>
      <c r="D45" s="6">
        <v>35</v>
      </c>
      <c r="E45" s="26"/>
    </row>
    <row r="46" spans="1:5" ht="21" x14ac:dyDescent="0.25">
      <c r="A46" s="26"/>
      <c r="B46" s="30"/>
      <c r="C46" s="7" t="s">
        <v>7</v>
      </c>
      <c r="D46" s="6">
        <v>17</v>
      </c>
      <c r="E46" s="26"/>
    </row>
    <row r="47" spans="1:5" ht="21" x14ac:dyDescent="0.25">
      <c r="A47" s="26"/>
      <c r="B47" s="30"/>
      <c r="C47" s="7" t="s">
        <v>8</v>
      </c>
      <c r="D47" s="6">
        <v>21</v>
      </c>
      <c r="E47" s="26"/>
    </row>
    <row r="48" spans="1:5" ht="21" x14ac:dyDescent="0.25">
      <c r="A48" s="26">
        <v>12</v>
      </c>
      <c r="B48" s="30" t="s">
        <v>19</v>
      </c>
      <c r="C48" s="7" t="s">
        <v>5</v>
      </c>
      <c r="D48" s="6">
        <v>8</v>
      </c>
      <c r="E48" s="26">
        <f>SUM(D48:D51)</f>
        <v>69</v>
      </c>
    </row>
    <row r="49" spans="1:6" ht="21" x14ac:dyDescent="0.25">
      <c r="A49" s="26"/>
      <c r="B49" s="30"/>
      <c r="C49" s="7" t="s">
        <v>6</v>
      </c>
      <c r="D49" s="6">
        <v>24</v>
      </c>
      <c r="E49" s="26"/>
    </row>
    <row r="50" spans="1:6" ht="21" x14ac:dyDescent="0.25">
      <c r="A50" s="26"/>
      <c r="B50" s="30"/>
      <c r="C50" s="7" t="s">
        <v>7</v>
      </c>
      <c r="D50" s="6">
        <v>16</v>
      </c>
      <c r="E50" s="26"/>
    </row>
    <row r="51" spans="1:6" ht="21" x14ac:dyDescent="0.25">
      <c r="A51" s="26"/>
      <c r="B51" s="30"/>
      <c r="C51" s="7" t="s">
        <v>8</v>
      </c>
      <c r="D51" s="6">
        <v>21</v>
      </c>
      <c r="E51" s="26"/>
    </row>
    <row r="52" spans="1:6" ht="21" x14ac:dyDescent="0.25">
      <c r="A52" s="26">
        <v>13</v>
      </c>
      <c r="B52" s="30" t="s">
        <v>20</v>
      </c>
      <c r="C52" s="7" t="s">
        <v>5</v>
      </c>
      <c r="D52" s="6">
        <v>9</v>
      </c>
      <c r="E52" s="26">
        <f>SUM(D52:D55)</f>
        <v>89</v>
      </c>
    </row>
    <row r="53" spans="1:6" ht="21" x14ac:dyDescent="0.25">
      <c r="A53" s="26"/>
      <c r="B53" s="30"/>
      <c r="C53" s="7" t="s">
        <v>6</v>
      </c>
      <c r="D53" s="6">
        <v>35</v>
      </c>
      <c r="E53" s="26"/>
    </row>
    <row r="54" spans="1:6" ht="21" x14ac:dyDescent="0.25">
      <c r="A54" s="26"/>
      <c r="B54" s="30"/>
      <c r="C54" s="7" t="s">
        <v>7</v>
      </c>
      <c r="D54" s="6">
        <v>24</v>
      </c>
      <c r="E54" s="26"/>
    </row>
    <row r="55" spans="1:6" ht="21" x14ac:dyDescent="0.25">
      <c r="A55" s="26"/>
      <c r="B55" s="30"/>
      <c r="C55" s="7" t="s">
        <v>8</v>
      </c>
      <c r="D55" s="6">
        <v>21</v>
      </c>
      <c r="E55" s="26"/>
    </row>
    <row r="56" spans="1:6" ht="21" x14ac:dyDescent="0.25">
      <c r="A56" s="26">
        <v>14</v>
      </c>
      <c r="B56" s="30" t="s">
        <v>21</v>
      </c>
      <c r="C56" s="7" t="s">
        <v>5</v>
      </c>
      <c r="D56" s="6">
        <v>18</v>
      </c>
      <c r="E56" s="26">
        <f>SUM(D56:D63)</f>
        <v>96</v>
      </c>
    </row>
    <row r="57" spans="1:6" ht="21" x14ac:dyDescent="0.25">
      <c r="A57" s="26"/>
      <c r="B57" s="30"/>
      <c r="C57" s="7" t="s">
        <v>6</v>
      </c>
      <c r="D57" s="6">
        <v>10</v>
      </c>
      <c r="E57" s="26"/>
    </row>
    <row r="58" spans="1:6" ht="21" x14ac:dyDescent="0.25">
      <c r="A58" s="26"/>
      <c r="B58" s="30"/>
      <c r="C58" s="7" t="s">
        <v>7</v>
      </c>
      <c r="D58" s="6">
        <v>20</v>
      </c>
      <c r="E58" s="26"/>
      <c r="F58">
        <v>20</v>
      </c>
    </row>
    <row r="59" spans="1:6" ht="21" x14ac:dyDescent="0.25">
      <c r="A59" s="26"/>
      <c r="B59" s="30"/>
      <c r="C59" s="7" t="s">
        <v>8</v>
      </c>
      <c r="D59" s="6">
        <v>10</v>
      </c>
      <c r="E59" s="26"/>
    </row>
    <row r="60" spans="1:6" ht="42" x14ac:dyDescent="0.55000000000000004">
      <c r="A60" s="26"/>
      <c r="B60" s="30"/>
      <c r="C60" s="11" t="s">
        <v>23</v>
      </c>
      <c r="D60" s="6">
        <v>15</v>
      </c>
      <c r="E60" s="26"/>
    </row>
    <row r="61" spans="1:6" ht="42" x14ac:dyDescent="0.25">
      <c r="A61" s="26"/>
      <c r="B61" s="30"/>
      <c r="C61" s="12" t="s">
        <v>24</v>
      </c>
      <c r="D61" s="6">
        <v>8</v>
      </c>
      <c r="E61" s="26"/>
    </row>
    <row r="62" spans="1:6" ht="42" x14ac:dyDescent="0.25">
      <c r="A62" s="26"/>
      <c r="B62" s="30"/>
      <c r="C62" s="12" t="s">
        <v>25</v>
      </c>
      <c r="D62" s="6">
        <v>10</v>
      </c>
      <c r="E62" s="26"/>
    </row>
    <row r="63" spans="1:6" ht="21" x14ac:dyDescent="0.25">
      <c r="A63" s="26"/>
      <c r="B63" s="30"/>
      <c r="C63" s="7" t="s">
        <v>26</v>
      </c>
      <c r="D63" s="6">
        <v>5</v>
      </c>
      <c r="E63" s="26"/>
    </row>
    <row r="64" spans="1:6" ht="21" x14ac:dyDescent="0.25">
      <c r="A64" s="26">
        <v>15</v>
      </c>
      <c r="B64" s="30" t="s">
        <v>22</v>
      </c>
      <c r="C64" s="7" t="s">
        <v>5</v>
      </c>
      <c r="D64" s="6">
        <v>10</v>
      </c>
      <c r="E64" s="26">
        <f>SUM(D64:D67)</f>
        <v>109</v>
      </c>
    </row>
    <row r="65" spans="1:5" ht="21" x14ac:dyDescent="0.25">
      <c r="A65" s="26"/>
      <c r="B65" s="30"/>
      <c r="C65" s="7" t="s">
        <v>6</v>
      </c>
      <c r="D65" s="6">
        <v>24</v>
      </c>
      <c r="E65" s="26"/>
    </row>
    <row r="66" spans="1:5" ht="21" x14ac:dyDescent="0.25">
      <c r="A66" s="26"/>
      <c r="B66" s="30"/>
      <c r="C66" s="7" t="s">
        <v>7</v>
      </c>
      <c r="D66" s="6">
        <v>54</v>
      </c>
      <c r="E66" s="26"/>
    </row>
    <row r="67" spans="1:5" ht="21" x14ac:dyDescent="0.25">
      <c r="A67" s="26"/>
      <c r="B67" s="30"/>
      <c r="C67" s="7" t="s">
        <v>8</v>
      </c>
      <c r="D67" s="6">
        <v>21</v>
      </c>
      <c r="E67" s="26"/>
    </row>
    <row r="68" spans="1:5" ht="21" x14ac:dyDescent="0.25">
      <c r="A68" s="26">
        <v>16</v>
      </c>
      <c r="B68" s="30" t="s">
        <v>27</v>
      </c>
      <c r="C68" s="7" t="s">
        <v>5</v>
      </c>
      <c r="D68" s="6">
        <v>11</v>
      </c>
      <c r="E68" s="26">
        <f>SUM(D68:D71)</f>
        <v>73</v>
      </c>
    </row>
    <row r="69" spans="1:5" ht="21" x14ac:dyDescent="0.25">
      <c r="A69" s="26"/>
      <c r="B69" s="30"/>
      <c r="C69" s="7" t="s">
        <v>6</v>
      </c>
      <c r="D69" s="6">
        <v>28</v>
      </c>
      <c r="E69" s="26"/>
    </row>
    <row r="70" spans="1:5" ht="21" x14ac:dyDescent="0.25">
      <c r="A70" s="26"/>
      <c r="B70" s="30"/>
      <c r="C70" s="7" t="s">
        <v>7</v>
      </c>
      <c r="D70" s="6">
        <v>12</v>
      </c>
      <c r="E70" s="26"/>
    </row>
    <row r="71" spans="1:5" ht="21" x14ac:dyDescent="0.25">
      <c r="A71" s="26"/>
      <c r="B71" s="30"/>
      <c r="C71" s="7" t="s">
        <v>8</v>
      </c>
      <c r="D71" s="6">
        <v>22</v>
      </c>
      <c r="E71" s="26"/>
    </row>
    <row r="72" spans="1:5" ht="21" x14ac:dyDescent="0.25">
      <c r="A72" s="26">
        <v>17</v>
      </c>
      <c r="B72" s="30" t="s">
        <v>29</v>
      </c>
      <c r="C72" s="7" t="s">
        <v>5</v>
      </c>
      <c r="D72" s="6">
        <v>14</v>
      </c>
      <c r="E72" s="26">
        <f>SUM(D72:D75)</f>
        <v>101</v>
      </c>
    </row>
    <row r="73" spans="1:5" ht="21" x14ac:dyDescent="0.25">
      <c r="A73" s="26"/>
      <c r="B73" s="30"/>
      <c r="C73" s="7" t="s">
        <v>6</v>
      </c>
      <c r="D73" s="6">
        <v>23</v>
      </c>
      <c r="E73" s="26"/>
    </row>
    <row r="74" spans="1:5" ht="21" x14ac:dyDescent="0.25">
      <c r="A74" s="26"/>
      <c r="B74" s="30"/>
      <c r="C74" s="7" t="s">
        <v>7</v>
      </c>
      <c r="D74" s="6">
        <v>43</v>
      </c>
      <c r="E74" s="26"/>
    </row>
    <row r="75" spans="1:5" ht="21" x14ac:dyDescent="0.25">
      <c r="A75" s="26"/>
      <c r="B75" s="30"/>
      <c r="C75" s="7" t="s">
        <v>8</v>
      </c>
      <c r="D75" s="6">
        <v>21</v>
      </c>
      <c r="E75" s="26"/>
    </row>
    <row r="76" spans="1:5" ht="21" x14ac:dyDescent="0.25">
      <c r="A76" s="26">
        <v>18</v>
      </c>
      <c r="B76" s="30" t="s">
        <v>28</v>
      </c>
      <c r="C76" s="7" t="s">
        <v>5</v>
      </c>
      <c r="D76" s="6">
        <v>8</v>
      </c>
      <c r="E76" s="26">
        <f>SUM(D76:D79)</f>
        <v>68</v>
      </c>
    </row>
    <row r="77" spans="1:5" ht="21" x14ac:dyDescent="0.25">
      <c r="A77" s="26"/>
      <c r="B77" s="30"/>
      <c r="C77" s="7" t="s">
        <v>6</v>
      </c>
      <c r="D77" s="6">
        <v>20</v>
      </c>
      <c r="E77" s="26"/>
    </row>
    <row r="78" spans="1:5" ht="21" x14ac:dyDescent="0.25">
      <c r="A78" s="26"/>
      <c r="B78" s="30"/>
      <c r="C78" s="7" t="s">
        <v>7</v>
      </c>
      <c r="D78" s="6">
        <v>25</v>
      </c>
      <c r="E78" s="26"/>
    </row>
    <row r="79" spans="1:5" ht="21" x14ac:dyDescent="0.25">
      <c r="A79" s="26"/>
      <c r="B79" s="30"/>
      <c r="C79" s="7" t="s">
        <v>8</v>
      </c>
      <c r="D79" s="6">
        <v>15</v>
      </c>
      <c r="E79" s="26"/>
    </row>
    <row r="80" spans="1:5" ht="21" x14ac:dyDescent="0.25">
      <c r="A80" s="26">
        <v>19</v>
      </c>
      <c r="B80" s="30" t="s">
        <v>30</v>
      </c>
      <c r="C80" s="7" t="s">
        <v>5</v>
      </c>
      <c r="D80" s="6">
        <v>12</v>
      </c>
      <c r="E80" s="26">
        <f>SUM(D80:D83)</f>
        <v>67</v>
      </c>
    </row>
    <row r="81" spans="1:5" ht="21" x14ac:dyDescent="0.25">
      <c r="A81" s="26"/>
      <c r="B81" s="30"/>
      <c r="C81" s="7" t="s">
        <v>6</v>
      </c>
      <c r="D81" s="6">
        <v>14</v>
      </c>
      <c r="E81" s="26"/>
    </row>
    <row r="82" spans="1:5" ht="21" x14ac:dyDescent="0.25">
      <c r="A82" s="26"/>
      <c r="B82" s="30"/>
      <c r="C82" s="7" t="s">
        <v>7</v>
      </c>
      <c r="D82" s="6">
        <v>21</v>
      </c>
      <c r="E82" s="26"/>
    </row>
    <row r="83" spans="1:5" ht="21" x14ac:dyDescent="0.25">
      <c r="A83" s="26"/>
      <c r="B83" s="30"/>
      <c r="C83" s="7" t="s">
        <v>8</v>
      </c>
      <c r="D83" s="6">
        <v>20</v>
      </c>
      <c r="E83" s="26"/>
    </row>
    <row r="84" spans="1:5" ht="21" x14ac:dyDescent="0.25">
      <c r="A84" s="26">
        <v>20</v>
      </c>
      <c r="B84" s="30" t="s">
        <v>33</v>
      </c>
      <c r="C84" s="7" t="s">
        <v>5</v>
      </c>
      <c r="D84" s="6">
        <v>11</v>
      </c>
      <c r="E84" s="26">
        <f>SUM(D84:D87)</f>
        <v>88</v>
      </c>
    </row>
    <row r="85" spans="1:5" ht="21" x14ac:dyDescent="0.25">
      <c r="A85" s="26"/>
      <c r="B85" s="30"/>
      <c r="C85" s="7" t="s">
        <v>6</v>
      </c>
      <c r="D85" s="6">
        <v>24</v>
      </c>
      <c r="E85" s="26"/>
    </row>
    <row r="86" spans="1:5" ht="21" x14ac:dyDescent="0.25">
      <c r="A86" s="26"/>
      <c r="B86" s="30"/>
      <c r="C86" s="7" t="s">
        <v>7</v>
      </c>
      <c r="D86" s="6">
        <v>37</v>
      </c>
      <c r="E86" s="26"/>
    </row>
    <row r="87" spans="1:5" ht="21" x14ac:dyDescent="0.25">
      <c r="A87" s="26"/>
      <c r="B87" s="30"/>
      <c r="C87" s="7" t="s">
        <v>8</v>
      </c>
      <c r="D87" s="6">
        <v>16</v>
      </c>
      <c r="E87" s="26"/>
    </row>
    <row r="88" spans="1:5" ht="21" x14ac:dyDescent="0.25">
      <c r="A88" s="26">
        <v>21</v>
      </c>
      <c r="B88" s="30" t="s">
        <v>31</v>
      </c>
      <c r="C88" s="7" t="s">
        <v>5</v>
      </c>
      <c r="D88" s="6">
        <v>8</v>
      </c>
      <c r="E88" s="26">
        <f>SUM(D88:D91)</f>
        <v>60</v>
      </c>
    </row>
    <row r="89" spans="1:5" ht="21" x14ac:dyDescent="0.25">
      <c r="A89" s="26"/>
      <c r="B89" s="30"/>
      <c r="C89" s="7" t="s">
        <v>6</v>
      </c>
      <c r="D89" s="6">
        <v>17</v>
      </c>
      <c r="E89" s="26"/>
    </row>
    <row r="90" spans="1:5" ht="21" x14ac:dyDescent="0.25">
      <c r="A90" s="26"/>
      <c r="B90" s="30"/>
      <c r="C90" s="7" t="s">
        <v>7</v>
      </c>
      <c r="D90" s="6">
        <v>23</v>
      </c>
      <c r="E90" s="26"/>
    </row>
    <row r="91" spans="1:5" ht="21" x14ac:dyDescent="0.25">
      <c r="A91" s="26"/>
      <c r="B91" s="30"/>
      <c r="C91" s="7" t="s">
        <v>8</v>
      </c>
      <c r="D91" s="6">
        <v>12</v>
      </c>
      <c r="E91" s="26"/>
    </row>
    <row r="92" spans="1:5" ht="21" x14ac:dyDescent="0.25">
      <c r="A92" s="26">
        <v>22</v>
      </c>
      <c r="B92" s="30" t="s">
        <v>36</v>
      </c>
      <c r="C92" s="7" t="s">
        <v>5</v>
      </c>
      <c r="D92" s="6">
        <v>9</v>
      </c>
      <c r="E92" s="26">
        <f>SUM(D92:D95)</f>
        <v>68</v>
      </c>
    </row>
    <row r="93" spans="1:5" ht="21" x14ac:dyDescent="0.25">
      <c r="A93" s="26"/>
      <c r="B93" s="30"/>
      <c r="C93" s="7" t="s">
        <v>6</v>
      </c>
      <c r="D93" s="6">
        <v>21</v>
      </c>
      <c r="E93" s="26"/>
    </row>
    <row r="94" spans="1:5" ht="21" x14ac:dyDescent="0.25">
      <c r="A94" s="26"/>
      <c r="B94" s="30"/>
      <c r="C94" s="7" t="s">
        <v>7</v>
      </c>
      <c r="D94" s="6">
        <v>24</v>
      </c>
      <c r="E94" s="26"/>
    </row>
    <row r="95" spans="1:5" ht="21" x14ac:dyDescent="0.25">
      <c r="A95" s="26"/>
      <c r="B95" s="30"/>
      <c r="C95" s="7" t="s">
        <v>8</v>
      </c>
      <c r="D95" s="6">
        <v>14</v>
      </c>
      <c r="E95" s="26"/>
    </row>
    <row r="96" spans="1:5" ht="21" x14ac:dyDescent="0.25">
      <c r="A96" s="26">
        <v>23</v>
      </c>
      <c r="B96" s="30" t="s">
        <v>32</v>
      </c>
      <c r="C96" s="7" t="s">
        <v>5</v>
      </c>
      <c r="D96" s="6">
        <v>10</v>
      </c>
      <c r="E96" s="26">
        <f>SUM(D96:D99)</f>
        <v>78</v>
      </c>
    </row>
    <row r="97" spans="1:5" ht="21" x14ac:dyDescent="0.25">
      <c r="A97" s="26"/>
      <c r="B97" s="30"/>
      <c r="C97" s="7" t="s">
        <v>6</v>
      </c>
      <c r="D97" s="6">
        <v>23</v>
      </c>
      <c r="E97" s="26"/>
    </row>
    <row r="98" spans="1:5" ht="21" x14ac:dyDescent="0.25">
      <c r="A98" s="26"/>
      <c r="B98" s="30"/>
      <c r="C98" s="7" t="s">
        <v>7</v>
      </c>
      <c r="D98" s="6">
        <v>24</v>
      </c>
      <c r="E98" s="26"/>
    </row>
    <row r="99" spans="1:5" ht="21" x14ac:dyDescent="0.25">
      <c r="A99" s="26"/>
      <c r="B99" s="30"/>
      <c r="C99" s="7" t="s">
        <v>8</v>
      </c>
      <c r="D99" s="6">
        <v>21</v>
      </c>
      <c r="E99" s="26"/>
    </row>
    <row r="100" spans="1:5" ht="21" x14ac:dyDescent="0.25">
      <c r="A100" s="26">
        <v>24</v>
      </c>
      <c r="B100" s="30" t="s">
        <v>39</v>
      </c>
      <c r="C100" s="7" t="s">
        <v>5</v>
      </c>
      <c r="D100" s="6">
        <v>11</v>
      </c>
      <c r="E100" s="26">
        <f>SUM(D100:D103)</f>
        <v>59</v>
      </c>
    </row>
    <row r="101" spans="1:5" ht="21" x14ac:dyDescent="0.25">
      <c r="A101" s="26"/>
      <c r="B101" s="30"/>
      <c r="C101" s="7" t="s">
        <v>6</v>
      </c>
      <c r="D101" s="6">
        <v>23</v>
      </c>
      <c r="E101" s="26"/>
    </row>
    <row r="102" spans="1:5" ht="21" x14ac:dyDescent="0.25">
      <c r="A102" s="26"/>
      <c r="B102" s="30"/>
      <c r="C102" s="7" t="s">
        <v>7</v>
      </c>
      <c r="D102" s="6">
        <v>12</v>
      </c>
      <c r="E102" s="26"/>
    </row>
    <row r="103" spans="1:5" ht="21" x14ac:dyDescent="0.25">
      <c r="A103" s="26"/>
      <c r="B103" s="30"/>
      <c r="C103" s="7" t="s">
        <v>8</v>
      </c>
      <c r="D103" s="6">
        <v>13</v>
      </c>
      <c r="E103" s="26"/>
    </row>
    <row r="104" spans="1:5" ht="21" x14ac:dyDescent="0.25">
      <c r="A104" s="26">
        <v>25</v>
      </c>
      <c r="B104" s="30" t="s">
        <v>38</v>
      </c>
      <c r="C104" s="7" t="s">
        <v>5</v>
      </c>
      <c r="D104" s="6">
        <v>10</v>
      </c>
      <c r="E104" s="26">
        <f>SUM(D104:D107)</f>
        <v>67</v>
      </c>
    </row>
    <row r="105" spans="1:5" ht="21" x14ac:dyDescent="0.25">
      <c r="A105" s="26"/>
      <c r="B105" s="30"/>
      <c r="C105" s="7" t="s">
        <v>6</v>
      </c>
      <c r="D105" s="6">
        <v>20</v>
      </c>
      <c r="E105" s="26"/>
    </row>
    <row r="106" spans="1:5" ht="21" x14ac:dyDescent="0.25">
      <c r="A106" s="26"/>
      <c r="B106" s="30"/>
      <c r="C106" s="7" t="s">
        <v>7</v>
      </c>
      <c r="D106" s="6">
        <v>23</v>
      </c>
      <c r="E106" s="26"/>
    </row>
    <row r="107" spans="1:5" ht="21" x14ac:dyDescent="0.25">
      <c r="A107" s="26"/>
      <c r="B107" s="30"/>
      <c r="C107" s="7" t="s">
        <v>8</v>
      </c>
      <c r="D107" s="6">
        <v>14</v>
      </c>
      <c r="E107" s="26"/>
    </row>
    <row r="108" spans="1:5" ht="21" x14ac:dyDescent="0.25">
      <c r="A108" s="26">
        <v>26</v>
      </c>
      <c r="B108" s="30" t="s">
        <v>37</v>
      </c>
      <c r="C108" s="7" t="s">
        <v>5</v>
      </c>
      <c r="D108" s="6">
        <v>10</v>
      </c>
      <c r="E108" s="26">
        <f>SUM(D108:D111)</f>
        <v>67</v>
      </c>
    </row>
    <row r="109" spans="1:5" ht="21" x14ac:dyDescent="0.25">
      <c r="A109" s="26"/>
      <c r="B109" s="30"/>
      <c r="C109" s="7" t="s">
        <v>6</v>
      </c>
      <c r="D109" s="6">
        <v>20</v>
      </c>
      <c r="E109" s="26"/>
    </row>
    <row r="110" spans="1:5" ht="21" x14ac:dyDescent="0.25">
      <c r="A110" s="26"/>
      <c r="B110" s="30"/>
      <c r="C110" s="7" t="s">
        <v>7</v>
      </c>
      <c r="D110" s="6">
        <v>23</v>
      </c>
      <c r="E110" s="26"/>
    </row>
    <row r="111" spans="1:5" ht="21" x14ac:dyDescent="0.25">
      <c r="A111" s="26"/>
      <c r="B111" s="30"/>
      <c r="C111" s="7" t="s">
        <v>8</v>
      </c>
      <c r="D111" s="6">
        <v>14</v>
      </c>
      <c r="E111" s="26"/>
    </row>
    <row r="112" spans="1:5" ht="21" x14ac:dyDescent="0.25">
      <c r="A112" s="26">
        <v>27</v>
      </c>
      <c r="B112" s="30" t="s">
        <v>35</v>
      </c>
      <c r="C112" s="7" t="s">
        <v>5</v>
      </c>
      <c r="D112" s="6">
        <v>10</v>
      </c>
      <c r="E112" s="26">
        <f>SUM(D112:D115)</f>
        <v>65</v>
      </c>
    </row>
    <row r="113" spans="1:5" ht="21" x14ac:dyDescent="0.25">
      <c r="A113" s="26"/>
      <c r="B113" s="30"/>
      <c r="C113" s="7" t="s">
        <v>6</v>
      </c>
      <c r="D113" s="6">
        <v>18</v>
      </c>
      <c r="E113" s="26"/>
    </row>
    <row r="114" spans="1:5" ht="21" x14ac:dyDescent="0.25">
      <c r="A114" s="26"/>
      <c r="B114" s="30"/>
      <c r="C114" s="7" t="s">
        <v>7</v>
      </c>
      <c r="D114" s="6">
        <v>24</v>
      </c>
      <c r="E114" s="26"/>
    </row>
    <row r="115" spans="1:5" ht="21" x14ac:dyDescent="0.25">
      <c r="A115" s="26"/>
      <c r="B115" s="30"/>
      <c r="C115" s="7" t="s">
        <v>8</v>
      </c>
      <c r="D115" s="6">
        <v>13</v>
      </c>
      <c r="E115" s="26"/>
    </row>
    <row r="116" spans="1:5" ht="21" x14ac:dyDescent="0.25">
      <c r="A116" s="26">
        <v>28</v>
      </c>
      <c r="B116" s="30" t="s">
        <v>34</v>
      </c>
      <c r="C116" s="7" t="s">
        <v>5</v>
      </c>
      <c r="D116" s="6">
        <v>9</v>
      </c>
      <c r="E116" s="26">
        <f>SUM(D116:D119)</f>
        <v>51</v>
      </c>
    </row>
    <row r="117" spans="1:5" ht="21" x14ac:dyDescent="0.25">
      <c r="A117" s="26"/>
      <c r="B117" s="30"/>
      <c r="C117" s="7" t="s">
        <v>6</v>
      </c>
      <c r="D117" s="6">
        <v>21</v>
      </c>
      <c r="E117" s="26"/>
    </row>
    <row r="118" spans="1:5" ht="21" x14ac:dyDescent="0.25">
      <c r="A118" s="26"/>
      <c r="B118" s="30"/>
      <c r="C118" s="7" t="s">
        <v>7</v>
      </c>
      <c r="D118" s="6">
        <v>9</v>
      </c>
      <c r="E118" s="26"/>
    </row>
    <row r="119" spans="1:5" ht="21" x14ac:dyDescent="0.25">
      <c r="A119" s="26"/>
      <c r="B119" s="30"/>
      <c r="C119" s="7" t="s">
        <v>8</v>
      </c>
      <c r="D119" s="6">
        <v>12</v>
      </c>
      <c r="E119" s="26"/>
    </row>
    <row r="120" spans="1:5" ht="21" x14ac:dyDescent="0.25">
      <c r="B120" s="27" t="s">
        <v>14</v>
      </c>
      <c r="C120" s="7" t="s">
        <v>5</v>
      </c>
      <c r="D120" s="6">
        <v>6</v>
      </c>
      <c r="E120" s="26">
        <f>SUM(D120:D123)</f>
        <v>85</v>
      </c>
    </row>
    <row r="121" spans="1:5" ht="21" x14ac:dyDescent="0.25">
      <c r="B121" s="28"/>
      <c r="C121" s="7" t="s">
        <v>6</v>
      </c>
      <c r="D121" s="6">
        <v>35</v>
      </c>
      <c r="E121" s="26"/>
    </row>
    <row r="122" spans="1:5" ht="21" x14ac:dyDescent="0.25">
      <c r="B122" s="28"/>
      <c r="C122" s="7" t="s">
        <v>7</v>
      </c>
      <c r="D122" s="6">
        <v>26</v>
      </c>
      <c r="E122" s="26"/>
    </row>
    <row r="123" spans="1:5" ht="21" x14ac:dyDescent="0.25">
      <c r="B123" s="29"/>
      <c r="C123" s="7" t="s">
        <v>8</v>
      </c>
      <c r="D123" s="6">
        <v>18</v>
      </c>
      <c r="E123" s="26"/>
    </row>
    <row r="124" spans="1:5" ht="21" x14ac:dyDescent="0.25">
      <c r="B124" s="27" t="s">
        <v>16</v>
      </c>
      <c r="C124" s="7" t="s">
        <v>5</v>
      </c>
      <c r="D124" s="6">
        <v>8</v>
      </c>
      <c r="E124" s="26">
        <f>SUM(D124:D127)</f>
        <v>88</v>
      </c>
    </row>
    <row r="125" spans="1:5" ht="21" x14ac:dyDescent="0.25">
      <c r="B125" s="28"/>
      <c r="C125" s="7" t="s">
        <v>6</v>
      </c>
      <c r="D125" s="6">
        <v>36</v>
      </c>
      <c r="E125" s="26"/>
    </row>
    <row r="126" spans="1:5" ht="21" x14ac:dyDescent="0.25">
      <c r="B126" s="28"/>
      <c r="C126" s="7" t="s">
        <v>7</v>
      </c>
      <c r="D126" s="6">
        <v>23</v>
      </c>
      <c r="E126" s="26"/>
    </row>
    <row r="127" spans="1:5" ht="21" x14ac:dyDescent="0.25">
      <c r="B127" s="29"/>
      <c r="C127" s="7" t="s">
        <v>8</v>
      </c>
      <c r="D127" s="6">
        <v>21</v>
      </c>
      <c r="E127" s="26"/>
    </row>
    <row r="128" spans="1:5" ht="21" x14ac:dyDescent="0.25">
      <c r="B128" s="27" t="s">
        <v>43</v>
      </c>
      <c r="C128" s="7" t="s">
        <v>5</v>
      </c>
      <c r="D128" s="6">
        <v>10</v>
      </c>
      <c r="E128" s="26">
        <f>SUM(D128:D131)</f>
        <v>74</v>
      </c>
    </row>
    <row r="129" spans="2:5" ht="21" x14ac:dyDescent="0.25">
      <c r="B129" s="28"/>
      <c r="C129" s="7" t="s">
        <v>6</v>
      </c>
      <c r="D129" s="6">
        <v>29</v>
      </c>
      <c r="E129" s="26"/>
    </row>
    <row r="130" spans="2:5" ht="21" x14ac:dyDescent="0.25">
      <c r="B130" s="28"/>
      <c r="C130" s="7" t="s">
        <v>7</v>
      </c>
      <c r="D130" s="6">
        <v>16</v>
      </c>
      <c r="E130" s="26"/>
    </row>
    <row r="131" spans="2:5" ht="21" x14ac:dyDescent="0.25">
      <c r="B131" s="29"/>
      <c r="C131" s="7" t="s">
        <v>8</v>
      </c>
      <c r="D131" s="6">
        <v>19</v>
      </c>
      <c r="E131" s="26"/>
    </row>
    <row r="132" spans="2:5" ht="21" x14ac:dyDescent="0.25">
      <c r="B132" s="27" t="s">
        <v>46</v>
      </c>
      <c r="C132" s="7" t="s">
        <v>5</v>
      </c>
      <c r="D132" s="6">
        <v>14</v>
      </c>
      <c r="E132" s="26">
        <f>SUM(D132:D135)</f>
        <v>117</v>
      </c>
    </row>
    <row r="133" spans="2:5" ht="21" x14ac:dyDescent="0.25">
      <c r="B133" s="28"/>
      <c r="C133" s="7" t="s">
        <v>6</v>
      </c>
      <c r="D133" s="6">
        <v>23</v>
      </c>
      <c r="E133" s="26"/>
    </row>
    <row r="134" spans="2:5" ht="21" x14ac:dyDescent="0.25">
      <c r="B134" s="28"/>
      <c r="C134" s="7" t="s">
        <v>7</v>
      </c>
      <c r="D134" s="6">
        <v>47</v>
      </c>
      <c r="E134" s="26"/>
    </row>
    <row r="135" spans="2:5" ht="21" x14ac:dyDescent="0.25">
      <c r="B135" s="29"/>
      <c r="C135" s="7" t="s">
        <v>8</v>
      </c>
      <c r="D135" s="6">
        <v>33</v>
      </c>
      <c r="E135" s="26"/>
    </row>
    <row r="136" spans="2:5" ht="21" x14ac:dyDescent="0.25">
      <c r="B136" s="27" t="s">
        <v>49</v>
      </c>
      <c r="C136" s="7" t="s">
        <v>5</v>
      </c>
      <c r="D136" s="6">
        <v>14</v>
      </c>
      <c r="E136" s="26">
        <f>SUM(D136:D139)</f>
        <v>80</v>
      </c>
    </row>
    <row r="137" spans="2:5" ht="21" x14ac:dyDescent="0.25">
      <c r="B137" s="28"/>
      <c r="C137" s="7" t="s">
        <v>6</v>
      </c>
      <c r="D137" s="6">
        <v>17</v>
      </c>
      <c r="E137" s="26"/>
    </row>
    <row r="138" spans="2:5" ht="21" x14ac:dyDescent="0.25">
      <c r="B138" s="28"/>
      <c r="C138" s="7" t="s">
        <v>7</v>
      </c>
      <c r="D138" s="6">
        <v>36</v>
      </c>
      <c r="E138" s="26"/>
    </row>
    <row r="139" spans="2:5" ht="21" x14ac:dyDescent="0.25">
      <c r="B139" s="29"/>
      <c r="C139" s="7" t="s">
        <v>8</v>
      </c>
      <c r="D139" s="6">
        <v>13</v>
      </c>
      <c r="E139" s="26"/>
    </row>
    <row r="140" spans="2:5" ht="21" x14ac:dyDescent="0.25">
      <c r="B140" s="27" t="s">
        <v>50</v>
      </c>
      <c r="C140" s="7" t="s">
        <v>5</v>
      </c>
      <c r="D140" s="6">
        <v>14</v>
      </c>
      <c r="E140" s="26">
        <f>SUM(D140:D143)</f>
        <v>80</v>
      </c>
    </row>
    <row r="141" spans="2:5" ht="21" x14ac:dyDescent="0.25">
      <c r="B141" s="28"/>
      <c r="C141" s="7" t="s">
        <v>6</v>
      </c>
      <c r="D141" s="6">
        <v>17</v>
      </c>
      <c r="E141" s="26"/>
    </row>
    <row r="142" spans="2:5" ht="21" x14ac:dyDescent="0.25">
      <c r="B142" s="28"/>
      <c r="C142" s="7" t="s">
        <v>7</v>
      </c>
      <c r="D142" s="6">
        <v>36</v>
      </c>
      <c r="E142" s="26"/>
    </row>
    <row r="143" spans="2:5" ht="21" x14ac:dyDescent="0.25">
      <c r="B143" s="29"/>
      <c r="C143" s="7" t="s">
        <v>8</v>
      </c>
      <c r="D143" s="6">
        <v>13</v>
      </c>
      <c r="E143" s="26"/>
    </row>
    <row r="144" spans="2:5" ht="21" x14ac:dyDescent="0.25">
      <c r="B144" s="27" t="s">
        <v>51</v>
      </c>
      <c r="C144" s="7" t="s">
        <v>5</v>
      </c>
      <c r="D144" s="6">
        <v>11</v>
      </c>
      <c r="E144" s="26">
        <f>SUM(D144:D147)</f>
        <v>73</v>
      </c>
    </row>
    <row r="145" spans="2:5" ht="21" x14ac:dyDescent="0.25">
      <c r="B145" s="28"/>
      <c r="C145" s="7" t="s">
        <v>6</v>
      </c>
      <c r="D145" s="6">
        <v>28</v>
      </c>
      <c r="E145" s="26"/>
    </row>
    <row r="146" spans="2:5" ht="21" x14ac:dyDescent="0.25">
      <c r="B146" s="28"/>
      <c r="C146" s="7" t="s">
        <v>7</v>
      </c>
      <c r="D146" s="6">
        <v>12</v>
      </c>
      <c r="E146" s="26"/>
    </row>
    <row r="147" spans="2:5" ht="21" x14ac:dyDescent="0.25">
      <c r="B147" s="29"/>
      <c r="C147" s="7" t="s">
        <v>8</v>
      </c>
      <c r="D147" s="6">
        <v>22</v>
      </c>
      <c r="E147" s="26"/>
    </row>
    <row r="148" spans="2:5" ht="21" x14ac:dyDescent="0.25">
      <c r="B148" s="27" t="s">
        <v>52</v>
      </c>
      <c r="C148" s="7" t="s">
        <v>5</v>
      </c>
      <c r="D148" s="6">
        <v>11</v>
      </c>
      <c r="E148" s="26">
        <f>SUM(D148:D151)</f>
        <v>73</v>
      </c>
    </row>
    <row r="149" spans="2:5" ht="21" x14ac:dyDescent="0.25">
      <c r="B149" s="28"/>
      <c r="C149" s="7" t="s">
        <v>6</v>
      </c>
      <c r="D149" s="6">
        <v>28</v>
      </c>
      <c r="E149" s="26"/>
    </row>
    <row r="150" spans="2:5" ht="21" x14ac:dyDescent="0.25">
      <c r="B150" s="28"/>
      <c r="C150" s="7" t="s">
        <v>7</v>
      </c>
      <c r="D150" s="6">
        <v>12</v>
      </c>
      <c r="E150" s="26"/>
    </row>
    <row r="151" spans="2:5" ht="21" x14ac:dyDescent="0.25">
      <c r="B151" s="29"/>
      <c r="C151" s="7" t="s">
        <v>8</v>
      </c>
      <c r="D151" s="6">
        <v>22</v>
      </c>
      <c r="E151" s="26"/>
    </row>
    <row r="152" spans="2:5" ht="21" x14ac:dyDescent="0.25">
      <c r="B152" s="27" t="s">
        <v>53</v>
      </c>
      <c r="C152" s="7" t="s">
        <v>5</v>
      </c>
      <c r="D152" s="6">
        <v>11</v>
      </c>
      <c r="E152" s="26">
        <f>SUM(D152:D155)</f>
        <v>73</v>
      </c>
    </row>
    <row r="153" spans="2:5" ht="21" x14ac:dyDescent="0.25">
      <c r="B153" s="28"/>
      <c r="C153" s="7" t="s">
        <v>6</v>
      </c>
      <c r="D153" s="6">
        <v>28</v>
      </c>
      <c r="E153" s="26"/>
    </row>
    <row r="154" spans="2:5" ht="21" x14ac:dyDescent="0.25">
      <c r="B154" s="28"/>
      <c r="C154" s="7" t="s">
        <v>7</v>
      </c>
      <c r="D154" s="6">
        <v>12</v>
      </c>
      <c r="E154" s="26"/>
    </row>
    <row r="155" spans="2:5" ht="21" x14ac:dyDescent="0.25">
      <c r="B155" s="29"/>
      <c r="C155" s="7" t="s">
        <v>8</v>
      </c>
      <c r="D155" s="6">
        <v>22</v>
      </c>
      <c r="E155" s="26"/>
    </row>
  </sheetData>
  <mergeCells count="103">
    <mergeCell ref="A12:A15"/>
    <mergeCell ref="B12:B15"/>
    <mergeCell ref="E12:E15"/>
    <mergeCell ref="A16:A19"/>
    <mergeCell ref="B16:B19"/>
    <mergeCell ref="E16:E19"/>
    <mergeCell ref="A4:A7"/>
    <mergeCell ref="A1:E1"/>
    <mergeCell ref="B8:B11"/>
    <mergeCell ref="A8:A11"/>
    <mergeCell ref="E8:E11"/>
    <mergeCell ref="E4:E7"/>
    <mergeCell ref="B4:B7"/>
    <mergeCell ref="A28:A31"/>
    <mergeCell ref="B28:B31"/>
    <mergeCell ref="E28:E31"/>
    <mergeCell ref="A32:A35"/>
    <mergeCell ref="B32:B35"/>
    <mergeCell ref="E32:E35"/>
    <mergeCell ref="A20:A23"/>
    <mergeCell ref="B20:B23"/>
    <mergeCell ref="E20:E23"/>
    <mergeCell ref="A24:A27"/>
    <mergeCell ref="B24:B27"/>
    <mergeCell ref="E24:E27"/>
    <mergeCell ref="A44:A47"/>
    <mergeCell ref="B44:B47"/>
    <mergeCell ref="E44:E47"/>
    <mergeCell ref="A48:A51"/>
    <mergeCell ref="B48:B51"/>
    <mergeCell ref="E48:E51"/>
    <mergeCell ref="A36:A39"/>
    <mergeCell ref="B36:B39"/>
    <mergeCell ref="E36:E39"/>
    <mergeCell ref="A40:A43"/>
    <mergeCell ref="B40:B43"/>
    <mergeCell ref="E40:E43"/>
    <mergeCell ref="A64:A67"/>
    <mergeCell ref="B64:B67"/>
    <mergeCell ref="E64:E67"/>
    <mergeCell ref="A68:A71"/>
    <mergeCell ref="B68:B71"/>
    <mergeCell ref="E68:E71"/>
    <mergeCell ref="A52:A55"/>
    <mergeCell ref="B52:B55"/>
    <mergeCell ref="E52:E55"/>
    <mergeCell ref="A56:A63"/>
    <mergeCell ref="B56:B63"/>
    <mergeCell ref="E56:E63"/>
    <mergeCell ref="A80:A83"/>
    <mergeCell ref="B80:B83"/>
    <mergeCell ref="E80:E83"/>
    <mergeCell ref="A84:A87"/>
    <mergeCell ref="B84:B87"/>
    <mergeCell ref="E84:E87"/>
    <mergeCell ref="A72:A75"/>
    <mergeCell ref="B72:B75"/>
    <mergeCell ref="E72:E75"/>
    <mergeCell ref="A76:A79"/>
    <mergeCell ref="B76:B79"/>
    <mergeCell ref="E76:E79"/>
    <mergeCell ref="A96:A99"/>
    <mergeCell ref="B96:B99"/>
    <mergeCell ref="E96:E99"/>
    <mergeCell ref="A104:A107"/>
    <mergeCell ref="B104:B107"/>
    <mergeCell ref="E104:E107"/>
    <mergeCell ref="A88:A91"/>
    <mergeCell ref="B88:B91"/>
    <mergeCell ref="E88:E91"/>
    <mergeCell ref="A92:A95"/>
    <mergeCell ref="B92:B95"/>
    <mergeCell ref="E92:E95"/>
    <mergeCell ref="A116:A119"/>
    <mergeCell ref="B116:B119"/>
    <mergeCell ref="E116:E119"/>
    <mergeCell ref="A100:A103"/>
    <mergeCell ref="B100:B103"/>
    <mergeCell ref="E100:E103"/>
    <mergeCell ref="A108:A111"/>
    <mergeCell ref="B108:B111"/>
    <mergeCell ref="E108:E111"/>
    <mergeCell ref="A112:A115"/>
    <mergeCell ref="B112:B115"/>
    <mergeCell ref="E112:E115"/>
    <mergeCell ref="E152:E155"/>
    <mergeCell ref="B120:B123"/>
    <mergeCell ref="B124:B127"/>
    <mergeCell ref="B128:B131"/>
    <mergeCell ref="B132:B135"/>
    <mergeCell ref="B136:B139"/>
    <mergeCell ref="B140:B143"/>
    <mergeCell ref="B144:B147"/>
    <mergeCell ref="B148:B151"/>
    <mergeCell ref="B152:B155"/>
    <mergeCell ref="E132:E135"/>
    <mergeCell ref="E136:E139"/>
    <mergeCell ref="E140:E143"/>
    <mergeCell ref="E144:E147"/>
    <mergeCell ref="E148:E151"/>
    <mergeCell ref="E120:E123"/>
    <mergeCell ref="E124:E127"/>
    <mergeCell ref="E128:E13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e62a12b-2cad-49a1-a5fa-85f4f3156a7d}" enabled="0" method="" siteId="{be62a12b-2cad-49a1-a5fa-85f4f3156a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Summary_original</vt:lpstr>
      <vt:lpstr>Risk Score</vt:lpstr>
      <vt:lpstr>'Risk Score'!_Hlk160971531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ECIL-DUBAI</dc:creator>
  <cp:keywords/>
  <dc:description/>
  <cp:lastModifiedBy>Saeed Sajjad</cp:lastModifiedBy>
  <cp:revision/>
  <dcterms:created xsi:type="dcterms:W3CDTF">2024-08-26T07:13:49Z</dcterms:created>
  <dcterms:modified xsi:type="dcterms:W3CDTF">2026-05-19T08:17:44Z</dcterms:modified>
  <cp:category/>
  <cp:contentStatus/>
</cp:coreProperties>
</file>