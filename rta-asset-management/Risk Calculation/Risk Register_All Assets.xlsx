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Saeed Data\Proposal Work\Unknown Proposal Work\"/>
    </mc:Choice>
  </mc:AlternateContent>
  <xr:revisionPtr revIDLastSave="0" documentId="8_{487BD46E-0D4A-45BB-B4F3-EA5DC60D0EA6}" xr6:coauthVersionLast="47" xr6:coauthVersionMax="47" xr10:uidLastSave="{00000000-0000-0000-0000-000000000000}"/>
  <bookViews>
    <workbookView xWindow="-120" yWindow="-120" windowWidth="29040" windowHeight="15720" tabRatio="846" activeTab="17" xr2:uid="{33F9A699-349F-4D8F-B579-C406AB9EDAAF}"/>
  </bookViews>
  <sheets>
    <sheet name="Traffic Signal" sheetId="12" r:id="rId1"/>
    <sheet name="Crash Cushion" sheetId="14" r:id="rId2"/>
    <sheet name="Road Marking" sheetId="15" r:id="rId3"/>
    <sheet name="road studs" sheetId="9" r:id="rId4"/>
    <sheet name="Road Gantry" sheetId="16" r:id="rId5"/>
    <sheet name="Pedestrian Crossing" sheetId="5" r:id="rId6"/>
    <sheet name="Pavement" sheetId="1" r:id="rId7"/>
    <sheet name="Curbstone" sheetId="2" r:id="rId8"/>
    <sheet name="Fence" sheetId="17" r:id="rId9"/>
    <sheet name="Footpath" sheetId="3" r:id="rId10"/>
    <sheet name="Road Hump" sheetId="4" r:id="rId11"/>
    <sheet name="manhole" sheetId="6" r:id="rId12"/>
    <sheet name="gully" sheetId="7" r:id="rId13"/>
    <sheet name="roadside drainage" sheetId="8" r:id="rId14"/>
    <sheet name="guard rail" sheetId="10" r:id="rId15"/>
    <sheet name="barrier" sheetId="11" r:id="rId16"/>
    <sheet name="Control Cabinet" sheetId="18" r:id="rId17"/>
    <sheet name="Landscape" sheetId="19" r:id="rId18"/>
    <sheet name="Roadside Camera" sheetId="13" r:id="rId19"/>
  </sheets>
  <definedNames>
    <definedName name="_Hlk160971531" localSheetId="2">'Road Marking'!$B$43</definedName>
    <definedName name="_Hlk160971662" localSheetId="2">'Road Marking'!$B$47</definedName>
    <definedName name="OLE_LINK1" localSheetId="8">Fence!$A$1</definedName>
    <definedName name="OLE_LINK2" localSheetId="7">Curbstone!$B$6</definedName>
    <definedName name="OLE_LINK4" localSheetId="7">Curbstone!$F$4</definedName>
  </definedName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62" i="19" l="1"/>
  <c r="E65" i="18"/>
  <c r="E65" i="13"/>
  <c r="E67" i="17"/>
  <c r="E61" i="2" l="1"/>
  <c r="B40" i="16"/>
  <c r="E35" i="16"/>
  <c r="E67" i="9"/>
  <c r="E64" i="14"/>
</calcChain>
</file>

<file path=xl/sharedStrings.xml><?xml version="1.0" encoding="utf-8"?>
<sst xmlns="http://schemas.openxmlformats.org/spreadsheetml/2006/main" count="2600" uniqueCount="997">
  <si>
    <t>Risk</t>
  </si>
  <si>
    <t>Activity Causing Potential Risk</t>
  </si>
  <si>
    <t>Probability</t>
  </si>
  <si>
    <t>Impact</t>
  </si>
  <si>
    <t>Mitigation</t>
  </si>
  <si>
    <t>Owner</t>
  </si>
  <si>
    <t>ID</t>
  </si>
  <si>
    <t>Likelihood</t>
  </si>
  <si>
    <t>Severity</t>
  </si>
  <si>
    <t>Scores</t>
  </si>
  <si>
    <t>Strategies</t>
  </si>
  <si>
    <t>Responsible Action</t>
  </si>
  <si>
    <t>(1-5)</t>
  </si>
  <si>
    <t>(1-25)</t>
  </si>
  <si>
    <t>R001</t>
  </si>
  <si>
    <t>A. Natural Events and Hazards</t>
  </si>
  <si>
    <r>
      <t>1.</t>
    </r>
    <r>
      <rPr>
        <sz val="7"/>
        <color theme="1"/>
        <rFont val="Times New Roman"/>
        <family val="1"/>
      </rPr>
      <t xml:space="preserve">       </t>
    </r>
    <r>
      <rPr>
        <sz val="11"/>
        <color rgb="FF000000"/>
        <rFont val="RTA Office Light"/>
      </rPr>
      <t>Regular Inspection and Maintenance for regular cleaning and removal of sand deposits.</t>
    </r>
  </si>
  <si>
    <t>RTA planning and design section, design consultants, and contractors.</t>
  </si>
  <si>
    <r>
      <t>1.</t>
    </r>
    <r>
      <rPr>
        <b/>
        <sz val="7"/>
        <color theme="1"/>
        <rFont val="Times New Roman"/>
        <family val="1"/>
      </rPr>
      <t xml:space="preserve">   </t>
    </r>
    <r>
      <rPr>
        <b/>
        <sz val="11"/>
        <color rgb="FF000000"/>
        <rFont val="RTA Office Light"/>
      </rPr>
      <t>Sandstorms</t>
    </r>
  </si>
  <si>
    <r>
      <t>2.</t>
    </r>
    <r>
      <rPr>
        <sz val="7"/>
        <color theme="1"/>
        <rFont val="Times New Roman"/>
        <family val="1"/>
      </rPr>
      <t xml:space="preserve">       </t>
    </r>
    <r>
      <rPr>
        <sz val="11"/>
        <color rgb="FF000000"/>
        <rFont val="RTA Office Light"/>
      </rPr>
      <t xml:space="preserve">Use durable materials, such as high strength concrete to withstand the abrasive sand movement. </t>
    </r>
  </si>
  <si>
    <r>
      <t>a.</t>
    </r>
    <r>
      <rPr>
        <sz val="7"/>
        <color theme="1"/>
        <rFont val="Times New Roman"/>
        <family val="1"/>
      </rPr>
      <t xml:space="preserve">     </t>
    </r>
    <r>
      <rPr>
        <sz val="11"/>
        <color rgb="FF000000"/>
        <rFont val="RTA Office Light"/>
      </rPr>
      <t>Sand accumulation, as large amount of sand can land on the Pavement, leading to blockages or slippery surfaces, which is hazardous to pedestrians.</t>
    </r>
  </si>
  <si>
    <r>
      <t>b.</t>
    </r>
    <r>
      <rPr>
        <sz val="7"/>
        <color theme="1"/>
        <rFont val="Times New Roman"/>
        <family val="1"/>
      </rPr>
      <t xml:space="preserve">     </t>
    </r>
    <r>
      <rPr>
        <sz val="11"/>
        <color rgb="FF000000"/>
        <rFont val="RTA Office Light"/>
      </rPr>
      <t>Reduced visibility can make it harder for pedestrians to see where they are walking.</t>
    </r>
  </si>
  <si>
    <r>
      <t>c.</t>
    </r>
    <r>
      <rPr>
        <sz val="7"/>
        <color theme="1"/>
        <rFont val="Times New Roman"/>
        <family val="1"/>
      </rPr>
      <t xml:space="preserve">     </t>
    </r>
    <r>
      <rPr>
        <sz val="11"/>
        <color rgb="FF000000"/>
        <rFont val="RTA Office Light"/>
      </rPr>
      <t xml:space="preserve">Continuous sand abrasion carried by strong winds, can wear down the surface of Pavements. </t>
    </r>
  </si>
  <si>
    <t>2. Flooding</t>
  </si>
  <si>
    <r>
      <t>1.</t>
    </r>
    <r>
      <rPr>
        <sz val="7"/>
        <color theme="1"/>
        <rFont val="Times New Roman"/>
        <family val="1"/>
      </rPr>
      <t xml:space="preserve">        </t>
    </r>
    <r>
      <rPr>
        <sz val="11"/>
        <color rgb="FF000000"/>
        <rFont val="RTA Office Light"/>
      </rPr>
      <t>Regular Inspection and Maintenance after flooding events to assess damage done to Pavement, to identify vulnerabilities and remove any debris taken with the water.</t>
    </r>
  </si>
  <si>
    <r>
      <t>a.</t>
    </r>
    <r>
      <rPr>
        <sz val="7"/>
        <color theme="1"/>
        <rFont val="Times New Roman"/>
        <family val="1"/>
      </rPr>
      <t xml:space="preserve">       </t>
    </r>
    <r>
      <rPr>
        <sz val="11"/>
        <color rgb="FF000000"/>
        <rFont val="RTA Office Light"/>
      </rPr>
      <t xml:space="preserve">Heavy rainfall can result in flooding, which can damage the Pavement, causing erosion, deterioration, resulting in structural damage and cracks. </t>
    </r>
  </si>
  <si>
    <r>
      <t>2.</t>
    </r>
    <r>
      <rPr>
        <sz val="7"/>
        <color theme="1"/>
        <rFont val="Times New Roman"/>
        <family val="1"/>
      </rPr>
      <t xml:space="preserve">      </t>
    </r>
    <r>
      <rPr>
        <sz val="11"/>
        <color rgb="FF000000"/>
        <rFont val="RTA Office Light"/>
      </rPr>
      <t>Implement drainage systems, to channel the water away from the Pavement and keep it dry.</t>
    </r>
  </si>
  <si>
    <r>
      <t>b.</t>
    </r>
    <r>
      <rPr>
        <sz val="7"/>
        <color theme="1"/>
        <rFont val="Times New Roman"/>
        <family val="1"/>
      </rPr>
      <t xml:space="preserve">      </t>
    </r>
    <r>
      <rPr>
        <sz val="11"/>
        <color rgb="FF000000"/>
        <rFont val="RTA Office Light"/>
      </rPr>
      <t>Floodwater carry debris, which could carry into the Pavement, leading to obstacles for pedestrians.</t>
    </r>
  </si>
  <si>
    <r>
      <t>3.</t>
    </r>
    <r>
      <rPr>
        <sz val="7"/>
        <color theme="1"/>
        <rFont val="Times New Roman"/>
        <family val="1"/>
      </rPr>
      <t xml:space="preserve">      </t>
    </r>
    <r>
      <rPr>
        <sz val="11"/>
        <color rgb="FF000000"/>
        <rFont val="RTA Office Light"/>
      </rPr>
      <t>Reinforce the structural integrity of Pavement with erosion-resistant materials to surrounding areas to withstand the pressure and force of floodwaters.</t>
    </r>
  </si>
  <si>
    <r>
      <t>c.</t>
    </r>
    <r>
      <rPr>
        <sz val="7"/>
        <color theme="1"/>
        <rFont val="Times New Roman"/>
        <family val="1"/>
      </rPr>
      <t xml:space="preserve">       </t>
    </r>
    <r>
      <rPr>
        <sz val="11"/>
        <color rgb="FF000000"/>
        <rFont val="RTA Office Light"/>
      </rPr>
      <t>Wet and muddy conditions can increase risk of slip and fall hazards.</t>
    </r>
  </si>
  <si>
    <t>3. Extreme Heat Temperatures</t>
  </si>
  <si>
    <r>
      <t>1.</t>
    </r>
    <r>
      <rPr>
        <sz val="7"/>
        <color rgb="FF000000"/>
        <rFont val="Times New Roman"/>
        <family val="1"/>
      </rPr>
      <t xml:space="preserve">        </t>
    </r>
    <r>
      <rPr>
        <sz val="11"/>
        <color rgb="FF000000"/>
        <rFont val="RTA Office Light"/>
      </rPr>
      <t>Regular Inspection and Maintenance after heating events to assess damage done to Pavement.</t>
    </r>
  </si>
  <si>
    <r>
      <t>a.</t>
    </r>
    <r>
      <rPr>
        <sz val="7"/>
        <color rgb="FF000000"/>
        <rFont val="Times New Roman"/>
        <family val="1"/>
      </rPr>
      <t xml:space="preserve">    </t>
    </r>
    <r>
      <rPr>
        <sz val="11"/>
        <color rgb="FF000000"/>
        <rFont val="RTA Office Light"/>
      </rPr>
      <t>Material degradation, due to prolonged exposure to high temperature.</t>
    </r>
  </si>
  <si>
    <r>
      <t>2.</t>
    </r>
    <r>
      <rPr>
        <sz val="7"/>
        <color theme="1"/>
        <rFont val="Times New Roman"/>
        <family val="1"/>
      </rPr>
      <t xml:space="preserve">      </t>
    </r>
    <r>
      <rPr>
        <sz val="11"/>
        <color rgb="FF000000"/>
        <rFont val="RTA Office Light"/>
      </rPr>
      <t>Use heat resistant materials to prevent degradation and withstand high heat temperatures.</t>
    </r>
  </si>
  <si>
    <t>R002</t>
  </si>
  <si>
    <t>B. External Impacts on The Agency</t>
  </si>
  <si>
    <r>
      <t>1.</t>
    </r>
    <r>
      <rPr>
        <sz val="7"/>
        <color rgb="FF000000"/>
        <rFont val="Times New Roman"/>
        <family val="1"/>
      </rPr>
      <t xml:space="preserve">          </t>
    </r>
    <r>
      <rPr>
        <sz val="11"/>
        <color rgb="FF000000"/>
        <rFont val="RTA Office Light"/>
      </rPr>
      <t>Regularly review and update compliance protocols to ensure they remain current with industry standards and regulatory requirements.</t>
    </r>
  </si>
  <si>
    <t>1. Regulatory Changes:</t>
  </si>
  <si>
    <r>
      <t>2.</t>
    </r>
    <r>
      <rPr>
        <sz val="7"/>
        <color rgb="FF000000"/>
        <rFont val="Times New Roman"/>
        <family val="1"/>
      </rPr>
      <t xml:space="preserve">        </t>
    </r>
    <r>
      <rPr>
        <sz val="11"/>
        <color rgb="FF000000"/>
        <rFont val="RTA Office Light"/>
      </rPr>
      <t>Actively engage with policy makers to stay informed.</t>
    </r>
  </si>
  <si>
    <t>Changes in regulatory requirements and non-compliance can lead to operational restrictions.</t>
  </si>
  <si>
    <t>2. Economic Crisis:</t>
  </si>
  <si>
    <r>
      <t>1.</t>
    </r>
    <r>
      <rPr>
        <sz val="7"/>
        <color rgb="FF000000"/>
        <rFont val="Times New Roman"/>
        <family val="1"/>
      </rPr>
      <t xml:space="preserve">          </t>
    </r>
    <r>
      <rPr>
        <sz val="11"/>
        <color rgb="FF000000"/>
        <rFont val="RTA Office Light"/>
      </rPr>
      <t>Diversity funding sources and maintain a contingency reserve to mitigate financial risk and handle unexpected costs.</t>
    </r>
  </si>
  <si>
    <t>Economic downturns can significantly impact resource allocation and funding availability.</t>
  </si>
  <si>
    <t>3. Human Activities:</t>
  </si>
  <si>
    <r>
      <t>1.</t>
    </r>
    <r>
      <rPr>
        <sz val="7"/>
        <color theme="1"/>
        <rFont val="Times New Roman"/>
        <family val="1"/>
      </rPr>
      <t xml:space="preserve">        </t>
    </r>
    <r>
      <rPr>
        <sz val="11"/>
        <color rgb="FF000000"/>
        <rFont val="RTA Office Light"/>
      </rPr>
      <t xml:space="preserve">Schedule regular maintenance to address wear and tear promptly. </t>
    </r>
  </si>
  <si>
    <r>
      <t>a.</t>
    </r>
    <r>
      <rPr>
        <sz val="7"/>
        <color theme="1"/>
        <rFont val="Times New Roman"/>
        <family val="1"/>
      </rPr>
      <t xml:space="preserve">       </t>
    </r>
    <r>
      <rPr>
        <sz val="11"/>
        <color rgb="FF000000"/>
        <rFont val="RTA Office Light"/>
      </rPr>
      <t>Foot Traffic: High levels of pedestrian use can lead to wear and tear, necessitating frequent maintenance.</t>
    </r>
  </si>
  <si>
    <r>
      <t>2.</t>
    </r>
    <r>
      <rPr>
        <sz val="7"/>
        <color theme="1"/>
        <rFont val="Times New Roman"/>
        <family val="1"/>
      </rPr>
      <t xml:space="preserve">      </t>
    </r>
    <r>
      <rPr>
        <sz val="11"/>
        <color rgb="FF000000"/>
        <rFont val="RTA Office Light"/>
      </rPr>
      <t>Encourage responsible use of Pavements, including promoting walking and cycling etiquette.</t>
    </r>
  </si>
  <si>
    <t>RFMD, Inspection and Maintenance Contractor.</t>
  </si>
  <si>
    <r>
      <t>b.</t>
    </r>
    <r>
      <rPr>
        <sz val="7"/>
        <color theme="1"/>
        <rFont val="Times New Roman"/>
        <family val="1"/>
      </rPr>
      <t xml:space="preserve">      </t>
    </r>
    <r>
      <rPr>
        <sz val="11"/>
        <color rgb="FF000000"/>
        <rFont val="RTA Office Light"/>
      </rPr>
      <t>Cycling and Skateboarding: These activities can cause additional strain and surface damage.</t>
    </r>
  </si>
  <si>
    <t>4. Climate Change:</t>
  </si>
  <si>
    <r>
      <t>1.</t>
    </r>
    <r>
      <rPr>
        <sz val="7"/>
        <color theme="1"/>
        <rFont val="Times New Roman"/>
        <family val="1"/>
      </rPr>
      <t xml:space="preserve">        </t>
    </r>
    <r>
      <rPr>
        <sz val="11"/>
        <color rgb="FF000000"/>
        <rFont val="RTA Office Light"/>
      </rPr>
      <t xml:space="preserve">Incorporate climate resilience into asset design and maintenance strategies to improve durability and ensure adaptability to changing environmental conditions, thereby safeguarding the infrastructure of the Pavement. </t>
    </r>
  </si>
  <si>
    <t>Environmental and Climate Change can damage the Pavement over time, causing erosion and deterioration.</t>
  </si>
  <si>
    <r>
      <t>2.</t>
    </r>
    <r>
      <rPr>
        <sz val="7"/>
        <color theme="1"/>
        <rFont val="Times New Roman"/>
        <family val="1"/>
      </rPr>
      <t xml:space="preserve">      </t>
    </r>
    <r>
      <rPr>
        <sz val="11"/>
        <color rgb="FF000000"/>
        <rFont val="RTA Office Light"/>
      </rPr>
      <t>Conduct frequent inspections to identify and address damaged Pavement promptly.</t>
    </r>
  </si>
  <si>
    <t>5. Supply of sub-standards materials and installation issues, which results in:</t>
  </si>
  <si>
    <r>
      <t>1.</t>
    </r>
    <r>
      <rPr>
        <sz val="7"/>
        <color theme="1"/>
        <rFont val="Times New Roman"/>
        <family val="1"/>
      </rPr>
      <t xml:space="preserve">        </t>
    </r>
    <r>
      <rPr>
        <sz val="11"/>
        <color rgb="FF000000"/>
        <rFont val="RTA Office Light"/>
      </rPr>
      <t xml:space="preserve"> Imposing stringent specifications for supply and installation.</t>
    </r>
  </si>
  <si>
    <r>
      <t>a.</t>
    </r>
    <r>
      <rPr>
        <sz val="7"/>
        <color theme="1"/>
        <rFont val="Times New Roman"/>
        <family val="1"/>
      </rPr>
      <t xml:space="preserve">       </t>
    </r>
    <r>
      <rPr>
        <sz val="11"/>
        <color rgb="FF000000"/>
        <rFont val="RTA Office Light"/>
      </rPr>
      <t>Premature degradation and deterioration.</t>
    </r>
  </si>
  <si>
    <r>
      <t>2.</t>
    </r>
    <r>
      <rPr>
        <sz val="7"/>
        <color theme="1"/>
        <rFont val="Times New Roman"/>
        <family val="1"/>
      </rPr>
      <t xml:space="preserve">      </t>
    </r>
    <r>
      <rPr>
        <sz val="11"/>
        <color rgb="FF000000"/>
        <rFont val="RTA Office Light"/>
      </rPr>
      <t>Setting up an adequate warranty period in the material supply and installation contract.</t>
    </r>
  </si>
  <si>
    <r>
      <t>b.</t>
    </r>
    <r>
      <rPr>
        <sz val="7"/>
        <color theme="1"/>
        <rFont val="Times New Roman"/>
        <family val="1"/>
      </rPr>
      <t xml:space="preserve">      </t>
    </r>
    <r>
      <rPr>
        <sz val="11"/>
        <color rgb="FF000000"/>
        <rFont val="RTA Office Light"/>
      </rPr>
      <t>Increased maintenance cost during life cycle.</t>
    </r>
  </si>
  <si>
    <r>
      <t>3.</t>
    </r>
    <r>
      <rPr>
        <sz val="7"/>
        <color rgb="FF000000"/>
        <rFont val="Times New Roman"/>
        <family val="1"/>
      </rPr>
      <t xml:space="preserve">      </t>
    </r>
    <r>
      <rPr>
        <sz val="11"/>
        <color rgb="FF000000"/>
        <rFont val="RTA Office Light"/>
      </rPr>
      <t>Introduction of performance-based contracting.</t>
    </r>
  </si>
  <si>
    <r>
      <t>c.</t>
    </r>
    <r>
      <rPr>
        <sz val="7"/>
        <color theme="1"/>
        <rFont val="Times New Roman"/>
        <family val="1"/>
      </rPr>
      <t xml:space="preserve">       </t>
    </r>
    <r>
      <rPr>
        <sz val="11"/>
        <color rgb="FF000000"/>
        <rFont val="RTA Office Light"/>
      </rPr>
      <t>Indirect effect on the maintenance budget due to extra expenditure on maintenance of Pavement.</t>
    </r>
  </si>
  <si>
    <t>6. Vandalism or intentional damage:</t>
  </si>
  <si>
    <r>
      <t>1.</t>
    </r>
    <r>
      <rPr>
        <sz val="7"/>
        <color theme="1"/>
        <rFont val="Times New Roman"/>
        <family val="1"/>
      </rPr>
      <t xml:space="preserve">        </t>
    </r>
    <r>
      <rPr>
        <sz val="11"/>
        <color rgb="FF000000"/>
        <rFont val="RTA Office Light"/>
      </rPr>
      <t>Educate the public on the importance of Pavement maintenance and how they can help, such as avoiding littering and reporting damage.</t>
    </r>
  </si>
  <si>
    <r>
      <t>a.</t>
    </r>
    <r>
      <rPr>
        <sz val="7"/>
        <color theme="1"/>
        <rFont val="Times New Roman"/>
        <family val="1"/>
      </rPr>
      <t xml:space="preserve">       </t>
    </r>
    <r>
      <rPr>
        <sz val="11"/>
        <color rgb="FF000000"/>
        <rFont val="RTA Office Light"/>
      </rPr>
      <t>Deliberate tampering with Pavement by vandals or malicious actors.</t>
    </r>
  </si>
  <si>
    <r>
      <t>b.</t>
    </r>
    <r>
      <rPr>
        <sz val="7"/>
        <color theme="1"/>
        <rFont val="Times New Roman"/>
        <family val="1"/>
      </rPr>
      <t xml:space="preserve">      </t>
    </r>
    <r>
      <rPr>
        <sz val="11"/>
        <color rgb="FF000000"/>
        <rFont val="RTA Office Light"/>
      </rPr>
      <t>Forms of defacement on Pavement surfaces, impairing functionality and aesthetics.</t>
    </r>
  </si>
  <si>
    <t>B. Physical Asset Failures</t>
  </si>
  <si>
    <r>
      <t>1.</t>
    </r>
    <r>
      <rPr>
        <sz val="7"/>
        <color theme="1"/>
        <rFont val="Times New Roman"/>
        <family val="1"/>
      </rPr>
      <t xml:space="preserve">        </t>
    </r>
    <r>
      <rPr>
        <sz val="11"/>
        <color rgb="FF000000"/>
        <rFont val="RTA Office Light"/>
      </rPr>
      <t>Regularly inspect Pavements for signs of settlement.</t>
    </r>
  </si>
  <si>
    <t>RFMD Inspection and Maintenance Team, Pavement Material Supplier and Installer and the Maintenance Contractor</t>
  </si>
  <si>
    <t>1. Destabilization Due to Soil Movement:</t>
  </si>
  <si>
    <t xml:space="preserve">2. Use geotextiles or geogrids to reinforce the soil beneath the Pavement, which helps distribute loads and stabilize the ground. </t>
  </si>
  <si>
    <r>
      <t>a.</t>
    </r>
    <r>
      <rPr>
        <sz val="7"/>
        <color theme="1"/>
        <rFont val="Times New Roman"/>
        <family val="1"/>
      </rPr>
      <t xml:space="preserve">       </t>
    </r>
    <r>
      <rPr>
        <sz val="11"/>
        <color rgb="FF000000"/>
        <rFont val="RTA Office Light"/>
      </rPr>
      <t>Erosion, expansion, or contraction of the underlying soil: These changes destabilize the foundation of the Pavement, causing it to shift and settle unevenly.</t>
    </r>
  </si>
  <si>
    <r>
      <t>b.</t>
    </r>
    <r>
      <rPr>
        <sz val="7"/>
        <color theme="1"/>
        <rFont val="Times New Roman"/>
        <family val="1"/>
      </rPr>
      <t xml:space="preserve">      </t>
    </r>
    <r>
      <rPr>
        <sz val="11"/>
        <color rgb="FF000000"/>
        <rFont val="RTA Office Light"/>
      </rPr>
      <t>Destabilization leads to surface issues: This movement results in the formation of cracks and uneven surfaces, creating tripping hazards and making the Pavement difficult to navigate.</t>
    </r>
  </si>
  <si>
    <t>2. Inadequate Design and Infrastructure</t>
  </si>
  <si>
    <r>
      <t>1.</t>
    </r>
    <r>
      <rPr>
        <sz val="7"/>
        <color theme="1"/>
        <rFont val="Times New Roman"/>
        <family val="1"/>
      </rPr>
      <t xml:space="preserve">        </t>
    </r>
    <r>
      <rPr>
        <sz val="11"/>
        <color rgb="FF000000"/>
        <rFont val="RTA Office Light"/>
      </rPr>
      <t>Ensure compliance with relevant design standards and requirements during the planning and construction phases of Pavement projects.</t>
    </r>
  </si>
  <si>
    <r>
      <t>a.</t>
    </r>
    <r>
      <rPr>
        <sz val="7"/>
        <color theme="1"/>
        <rFont val="Times New Roman"/>
        <family val="1"/>
      </rPr>
      <t xml:space="preserve">       </t>
    </r>
    <r>
      <rPr>
        <sz val="11"/>
        <color rgb="FF000000"/>
        <rFont val="RTA Office Light"/>
      </rPr>
      <t xml:space="preserve">Insufficient drainage systems cause water pooling results in erosion, material weakening, and surface damage. </t>
    </r>
  </si>
  <si>
    <r>
      <t>2.</t>
    </r>
    <r>
      <rPr>
        <sz val="7"/>
        <color theme="1"/>
        <rFont val="Times New Roman"/>
        <family val="1"/>
      </rPr>
      <t xml:space="preserve">      </t>
    </r>
    <r>
      <rPr>
        <sz val="11"/>
        <color rgb="FF000000"/>
        <rFont val="RTA Office Light"/>
      </rPr>
      <t xml:space="preserve">Conduct thorough site assessments to identify potential hazards and optimize Pavement placement. </t>
    </r>
  </si>
  <si>
    <r>
      <t>b.</t>
    </r>
    <r>
      <rPr>
        <sz val="7"/>
        <color theme="1"/>
        <rFont val="Times New Roman"/>
        <family val="1"/>
      </rPr>
      <t xml:space="preserve">      </t>
    </r>
    <r>
      <rPr>
        <sz val="11"/>
        <color rgb="FF000000"/>
        <rFont val="RTA Office Light"/>
      </rPr>
      <t>Use of substandard materials and inadequate construction techniques leads to premature deterioration and structural weaknesses</t>
    </r>
  </si>
  <si>
    <t>3. Failure to Inspect and Maintain</t>
  </si>
  <si>
    <t>1. Develop a comprehensive inspection schedule based on risk assessments and asset condition data, incorporating visual inspections.</t>
  </si>
  <si>
    <r>
      <t>a.</t>
    </r>
    <r>
      <rPr>
        <sz val="7"/>
        <color theme="1"/>
        <rFont val="Times New Roman"/>
        <family val="1"/>
      </rPr>
      <t xml:space="preserve">       </t>
    </r>
    <r>
      <rPr>
        <sz val="11"/>
        <color rgb="FF000000"/>
        <rFont val="RTA Office Light"/>
      </rPr>
      <t>Lack of routine inspections leading to undetected defects or deterioration in tiles.</t>
    </r>
  </si>
  <si>
    <t>2. Promptly repair any damage to prevent further deterioration and ensure safety.</t>
  </si>
  <si>
    <r>
      <t>b.</t>
    </r>
    <r>
      <rPr>
        <sz val="7"/>
        <color theme="1"/>
        <rFont val="Times New Roman"/>
        <family val="1"/>
      </rPr>
      <t xml:space="preserve">      </t>
    </r>
    <r>
      <rPr>
        <sz val="11"/>
        <color rgb="FF000000"/>
        <rFont val="RTA Office Light"/>
      </rPr>
      <t>Inadequate maintenance practices resulting in missed opportunities to address minor issues before they escalate into major failures.</t>
    </r>
  </si>
  <si>
    <t>R003</t>
  </si>
  <si>
    <t>C. Operational Risk Events</t>
  </si>
  <si>
    <r>
      <t>1.</t>
    </r>
    <r>
      <rPr>
        <sz val="7"/>
        <color theme="1"/>
        <rFont val="Times New Roman"/>
        <family val="1"/>
      </rPr>
      <t xml:space="preserve">        </t>
    </r>
    <r>
      <rPr>
        <sz val="11"/>
        <color rgb="FF000000"/>
        <rFont val="RTA Office Light"/>
      </rPr>
      <t>Implement a centralized reporting system for documenting and tracking Pavement damage reports, streamlining communication and ensuring timely responses.</t>
    </r>
  </si>
  <si>
    <t>1. Inefficient Response to Reported Damages:</t>
  </si>
  <si>
    <r>
      <t>2.</t>
    </r>
    <r>
      <rPr>
        <sz val="7"/>
        <color theme="1"/>
        <rFont val="Times New Roman"/>
        <family val="1"/>
      </rPr>
      <t xml:space="preserve">      </t>
    </r>
    <r>
      <rPr>
        <sz val="11"/>
        <color rgb="FF000000"/>
        <rFont val="RTA Office Light"/>
      </rPr>
      <t>Establish clear escalation procedures and response timelines for addressing reported damages based on severity, location, and impact on safety.</t>
    </r>
  </si>
  <si>
    <r>
      <t>a.</t>
    </r>
    <r>
      <rPr>
        <sz val="7"/>
        <color theme="1"/>
        <rFont val="Times New Roman"/>
        <family val="1"/>
      </rPr>
      <t xml:space="preserve">       </t>
    </r>
    <r>
      <rPr>
        <sz val="11"/>
        <color rgb="FF000000"/>
        <rFont val="RTA Office Light"/>
      </rPr>
      <t>Delays in responding to reported Pavement damages due to ineffective communication or resource allocation.</t>
    </r>
  </si>
  <si>
    <r>
      <t>b.</t>
    </r>
    <r>
      <rPr>
        <sz val="7"/>
        <color theme="1"/>
        <rFont val="Times New Roman"/>
        <family val="1"/>
      </rPr>
      <t xml:space="preserve">      </t>
    </r>
    <r>
      <rPr>
        <sz val="11"/>
        <color rgb="FF000000"/>
        <rFont val="RTA Office Light"/>
      </rPr>
      <t>Lack of standardized procedures or protocols for assessing and prioritizing Pavement repairs, leading to inconsistent outcomes.</t>
    </r>
  </si>
  <si>
    <t>2. Lack of Proper Training:</t>
  </si>
  <si>
    <r>
      <t>1.</t>
    </r>
    <r>
      <rPr>
        <sz val="7"/>
        <color theme="1"/>
        <rFont val="Times New Roman"/>
        <family val="1"/>
      </rPr>
      <t xml:space="preserve">        </t>
    </r>
    <r>
      <rPr>
        <sz val="11"/>
        <color rgb="FF000000"/>
        <rFont val="RTA Office Light"/>
      </rPr>
      <t>Develop a comprehensive training program covering Pavement inspection techniques, repair procedures, safety protocols, and equipment operation.</t>
    </r>
  </si>
  <si>
    <r>
      <t>a.</t>
    </r>
    <r>
      <rPr>
        <sz val="7"/>
        <color theme="1"/>
        <rFont val="Times New Roman"/>
        <family val="1"/>
      </rPr>
      <t xml:space="preserve">       </t>
    </r>
    <r>
      <rPr>
        <sz val="11"/>
        <color rgb="FF000000"/>
        <rFont val="RTA Office Light"/>
      </rPr>
      <t>Insufficient training for maintenance personnel in identifying, assessing, and repairing Pavement defects or damage.</t>
    </r>
  </si>
  <si>
    <r>
      <t>2.</t>
    </r>
    <r>
      <rPr>
        <sz val="7"/>
        <color theme="1"/>
        <rFont val="Times New Roman"/>
        <family val="1"/>
      </rPr>
      <t xml:space="preserve">      </t>
    </r>
    <r>
      <rPr>
        <sz val="11"/>
        <color rgb="FF000000"/>
        <rFont val="RTA Office Light"/>
      </rPr>
      <t>Provide ongoing professional development opportunities and performance incentives to encourage skill retention and career advancement among maintenance staff.</t>
    </r>
  </si>
  <si>
    <r>
      <t>b.</t>
    </r>
    <r>
      <rPr>
        <sz val="7"/>
        <color theme="1"/>
        <rFont val="Times New Roman"/>
        <family val="1"/>
      </rPr>
      <t xml:space="preserve">      </t>
    </r>
    <r>
      <rPr>
        <sz val="11"/>
        <color rgb="FF000000"/>
        <rFont val="RTA Office Light"/>
      </rPr>
      <t>Retirement of job change by maintenance crews leading to loss of institutional knowledge and skills gaps.</t>
    </r>
  </si>
  <si>
    <t>3. Budget Constraints:</t>
  </si>
  <si>
    <r>
      <t>1.</t>
    </r>
    <r>
      <rPr>
        <sz val="7"/>
        <color theme="1"/>
        <rFont val="Times New Roman"/>
        <family val="1"/>
      </rPr>
      <t xml:space="preserve">        </t>
    </r>
    <r>
      <rPr>
        <sz val="11"/>
        <color rgb="FF000000"/>
        <rFont val="RTA Office Light"/>
      </rPr>
      <t>Advocate for dedicated funding allocations for Pavement maintenance and repair as part of the annual budgeting process, highlighting the importance of preserving critical infrastructure assets and ensuring public safety.</t>
    </r>
  </si>
  <si>
    <t>RTA planning and design section,</t>
  </si>
  <si>
    <r>
      <t>a.</t>
    </r>
    <r>
      <rPr>
        <sz val="7"/>
        <color theme="1"/>
        <rFont val="Times New Roman"/>
        <family val="1"/>
      </rPr>
      <t xml:space="preserve">       </t>
    </r>
    <r>
      <rPr>
        <sz val="11"/>
        <color rgb="FF000000"/>
        <rFont val="RTA Office Light"/>
      </rPr>
      <t>Limited funding for Pavement maintenance and repair activities, resulting in deferred maintenance and increased asset deterioration.</t>
    </r>
  </si>
  <si>
    <r>
      <t>2.</t>
    </r>
    <r>
      <rPr>
        <sz val="7"/>
        <color theme="1"/>
        <rFont val="Times New Roman"/>
        <family val="1"/>
      </rPr>
      <t xml:space="preserve">      </t>
    </r>
    <r>
      <rPr>
        <sz val="11"/>
        <color rgb="FF000000"/>
        <rFont val="RTA Office Light"/>
      </rPr>
      <t>Explore alternative funding sources such as grants, partnerships, or asset management programs to supplement existing budget allocations and support long-term sustainability initiatives.</t>
    </r>
  </si>
  <si>
    <r>
      <t>b.</t>
    </r>
    <r>
      <rPr>
        <sz val="7"/>
        <color theme="1"/>
        <rFont val="Times New Roman"/>
        <family val="1"/>
      </rPr>
      <t xml:space="preserve">      </t>
    </r>
    <r>
      <rPr>
        <sz val="11"/>
        <color rgb="FF000000"/>
        <rFont val="RTA Office Light"/>
      </rPr>
      <t>Inability to invest in technological advancements or innovative solutions to improve Pavement performance and longevity.</t>
    </r>
  </si>
  <si>
    <t>ROO4</t>
  </si>
  <si>
    <r>
      <t>1.</t>
    </r>
    <r>
      <rPr>
        <b/>
        <sz val="7"/>
        <color rgb="FF000000"/>
        <rFont val="Times New Roman"/>
        <family val="1"/>
      </rPr>
      <t xml:space="preserve">     </t>
    </r>
    <r>
      <rPr>
        <b/>
        <sz val="11"/>
        <color rgb="FF000000"/>
        <rFont val="RTA Office Light"/>
      </rPr>
      <t>Operational Risk Events</t>
    </r>
  </si>
  <si>
    <r>
      <t>1.</t>
    </r>
    <r>
      <rPr>
        <sz val="7"/>
        <color rgb="FF000000"/>
        <rFont val="Times New Roman"/>
        <family val="1"/>
      </rPr>
      <t xml:space="preserve">        </t>
    </r>
    <r>
      <rPr>
        <sz val="11"/>
        <color rgb="FF000000"/>
        <rFont val="RTA Office Light"/>
      </rPr>
      <t>Training and Development</t>
    </r>
  </si>
  <si>
    <t>RFMD</t>
  </si>
  <si>
    <r>
      <t>1.</t>
    </r>
    <r>
      <rPr>
        <sz val="7"/>
        <color rgb="FF000000"/>
        <rFont val="Times New Roman"/>
        <family val="1"/>
      </rPr>
      <t xml:space="preserve">        </t>
    </r>
    <r>
      <rPr>
        <sz val="11"/>
        <color rgb="FF000000"/>
        <rFont val="RTA Office Light"/>
      </rPr>
      <t>Lack of Trained Maintenance Staff</t>
    </r>
  </si>
  <si>
    <r>
      <t>2.</t>
    </r>
    <r>
      <rPr>
        <sz val="7"/>
        <color rgb="FF000000"/>
        <rFont val="Times New Roman"/>
        <family val="1"/>
      </rPr>
      <t xml:space="preserve">      </t>
    </r>
    <r>
      <rPr>
        <sz val="11"/>
        <color rgb="FF000000"/>
        <rFont val="RTA Office Light"/>
      </rPr>
      <t>Adapting preventive maintenance strategy</t>
    </r>
  </si>
  <si>
    <r>
      <t>2.</t>
    </r>
    <r>
      <rPr>
        <sz val="7"/>
        <color rgb="FF000000"/>
        <rFont val="Times New Roman"/>
        <family val="1"/>
      </rPr>
      <t xml:space="preserve">      </t>
    </r>
    <r>
      <rPr>
        <sz val="11"/>
        <color rgb="FF000000"/>
        <rFont val="RTA Office Light"/>
      </rPr>
      <t>Lack of documentation and maintenance SOPs and procedures</t>
    </r>
  </si>
  <si>
    <r>
      <t>3.</t>
    </r>
    <r>
      <rPr>
        <sz val="7"/>
        <color rgb="FF000000"/>
        <rFont val="Times New Roman"/>
        <family val="1"/>
      </rPr>
      <t xml:space="preserve">      </t>
    </r>
    <r>
      <rPr>
        <sz val="11"/>
        <color rgb="FF000000"/>
        <rFont val="RTA Office Light"/>
      </rPr>
      <t>Continuous inspection and monitoring</t>
    </r>
  </si>
  <si>
    <r>
      <t>3.</t>
    </r>
    <r>
      <rPr>
        <sz val="7"/>
        <color rgb="FF000000"/>
        <rFont val="Times New Roman"/>
        <family val="1"/>
      </rPr>
      <t xml:space="preserve">      </t>
    </r>
    <r>
      <rPr>
        <sz val="11"/>
        <color rgb="FF000000"/>
        <rFont val="RTA Office Light"/>
      </rPr>
      <t>Lack of Maintenance Budget</t>
    </r>
  </si>
  <si>
    <r>
      <t>4.</t>
    </r>
    <r>
      <rPr>
        <sz val="7"/>
        <color rgb="FF000000"/>
        <rFont val="Times New Roman"/>
        <family val="1"/>
      </rPr>
      <t xml:space="preserve">      </t>
    </r>
    <r>
      <rPr>
        <sz val="11"/>
        <color rgb="FF000000"/>
        <rFont val="RTA Office Light"/>
      </rPr>
      <t>Developing inspection and condition rating protocols</t>
    </r>
  </si>
  <si>
    <r>
      <t>4.</t>
    </r>
    <r>
      <rPr>
        <sz val="7"/>
        <color rgb="FF000000"/>
        <rFont val="Times New Roman"/>
        <family val="1"/>
      </rPr>
      <t xml:space="preserve">      </t>
    </r>
    <r>
      <rPr>
        <sz val="11"/>
        <color rgb="FF000000"/>
        <rFont val="RTA Office Light"/>
      </rPr>
      <t>Use of poor-quality of Materials</t>
    </r>
  </si>
  <si>
    <r>
      <t>5.</t>
    </r>
    <r>
      <rPr>
        <sz val="7"/>
        <color rgb="FF000000"/>
        <rFont val="Times New Roman"/>
        <family val="1"/>
      </rPr>
      <t xml:space="preserve">      </t>
    </r>
    <r>
      <rPr>
        <sz val="11"/>
        <color rgb="FF000000"/>
        <rFont val="RTA Office Light"/>
      </rPr>
      <t>Budget advocacy and Management</t>
    </r>
  </si>
  <si>
    <r>
      <t>5.</t>
    </r>
    <r>
      <rPr>
        <sz val="7"/>
        <color rgb="FF000000"/>
        <rFont val="Times New Roman"/>
        <family val="1"/>
      </rPr>
      <t xml:space="preserve">      </t>
    </r>
    <r>
      <rPr>
        <sz val="11"/>
        <color rgb="FF000000"/>
        <rFont val="RTA Office Light"/>
      </rPr>
      <t>Inadequate Planning and Scheduling of Maintenance Activities</t>
    </r>
  </si>
  <si>
    <r>
      <t>6.</t>
    </r>
    <r>
      <rPr>
        <sz val="7"/>
        <color rgb="FF000000"/>
        <rFont val="Times New Roman"/>
        <family val="1"/>
      </rPr>
      <t xml:space="preserve">      </t>
    </r>
    <r>
      <rPr>
        <sz val="11"/>
        <color rgb="FF000000"/>
        <rFont val="RTA Office Light"/>
      </rPr>
      <t>Quality Control</t>
    </r>
  </si>
  <si>
    <r>
      <t>6.</t>
    </r>
    <r>
      <rPr>
        <sz val="7"/>
        <color rgb="FF000000"/>
        <rFont val="Times New Roman"/>
        <family val="1"/>
      </rPr>
      <t xml:space="preserve">      </t>
    </r>
    <r>
      <rPr>
        <sz val="11"/>
        <color rgb="FF000000"/>
        <rFont val="RTA Office Light"/>
      </rPr>
      <t>Resistance to Adopting New Technologies</t>
    </r>
  </si>
  <si>
    <r>
      <t>7.</t>
    </r>
    <r>
      <rPr>
        <sz val="7"/>
        <color rgb="FF000000"/>
        <rFont val="Times New Roman"/>
        <family val="1"/>
      </rPr>
      <t xml:space="preserve">      </t>
    </r>
    <r>
      <rPr>
        <sz val="11"/>
        <color rgb="FF000000"/>
        <rFont val="RTA Office Light"/>
      </rPr>
      <t>Effective Maintenance Scheduling</t>
    </r>
  </si>
  <si>
    <r>
      <t>7.</t>
    </r>
    <r>
      <rPr>
        <sz val="7"/>
        <color rgb="FF000000"/>
        <rFont val="Times New Roman"/>
        <family val="1"/>
      </rPr>
      <t xml:space="preserve">      </t>
    </r>
    <r>
      <rPr>
        <sz val="11"/>
        <color rgb="FF000000"/>
        <rFont val="RTA Office Light"/>
      </rPr>
      <t>Ineffective Coordination with Other Roadwork</t>
    </r>
  </si>
  <si>
    <r>
      <t>8.</t>
    </r>
    <r>
      <rPr>
        <sz val="7"/>
        <color rgb="FF000000"/>
        <rFont val="Times New Roman"/>
        <family val="1"/>
      </rPr>
      <t xml:space="preserve">      </t>
    </r>
    <r>
      <rPr>
        <sz val="11"/>
        <color rgb="FF000000"/>
        <rFont val="RTA Office Light"/>
      </rPr>
      <t>Innovation adaption, such as introduction of new materials</t>
    </r>
  </si>
  <si>
    <r>
      <t>8.</t>
    </r>
    <r>
      <rPr>
        <sz val="7"/>
        <color rgb="FF000000"/>
        <rFont val="Times New Roman"/>
        <family val="1"/>
      </rPr>
      <t xml:space="preserve">      </t>
    </r>
    <r>
      <rPr>
        <sz val="11"/>
        <color rgb="FF000000"/>
        <rFont val="RTA Office Light"/>
      </rPr>
      <t>Environmental Compliance Issues</t>
    </r>
  </si>
  <si>
    <r>
      <t>9.</t>
    </r>
    <r>
      <rPr>
        <sz val="7"/>
        <color rgb="FF000000"/>
        <rFont val="Times New Roman"/>
        <family val="1"/>
      </rPr>
      <t xml:space="preserve">      </t>
    </r>
    <r>
      <rPr>
        <sz val="11"/>
        <color rgb="FF000000"/>
        <rFont val="RTA Office Light"/>
      </rPr>
      <t>Environmental Best Practices</t>
    </r>
  </si>
  <si>
    <r>
      <t>9.</t>
    </r>
    <r>
      <rPr>
        <sz val="7"/>
        <color rgb="FF000000"/>
        <rFont val="Times New Roman"/>
        <family val="1"/>
      </rPr>
      <t xml:space="preserve">      </t>
    </r>
    <r>
      <rPr>
        <sz val="11"/>
        <color rgb="FF000000"/>
        <rFont val="RTA Office Light"/>
      </rPr>
      <t>Inadequate Stakeholder Engagement</t>
    </r>
  </si>
  <si>
    <r>
      <t>10.</t>
    </r>
    <r>
      <rPr>
        <sz val="7"/>
        <color rgb="FF000000"/>
        <rFont val="Times New Roman"/>
        <family val="1"/>
      </rPr>
      <t xml:space="preserve">   </t>
    </r>
    <r>
      <rPr>
        <sz val="11"/>
        <color rgb="FF000000"/>
        <rFont val="RTA Office Light"/>
      </rPr>
      <t>Engage Stakeholders</t>
    </r>
  </si>
  <si>
    <t>Overall Risk Score</t>
  </si>
  <si>
    <t>1. Sandstorm:</t>
  </si>
  <si>
    <r>
      <t>a.</t>
    </r>
    <r>
      <rPr>
        <sz val="7"/>
        <color theme="1"/>
        <rFont val="Times New Roman"/>
        <family val="1"/>
      </rPr>
      <t xml:space="preserve">       </t>
    </r>
    <r>
      <rPr>
        <sz val="11"/>
        <color rgb="FF000000"/>
        <rFont val="RTA Office Light"/>
      </rPr>
      <t>Sandstorms cause abrasion and erosion of Curb Stone surfaces, causing deteriorations.</t>
    </r>
  </si>
  <si>
    <r>
      <t>1.</t>
    </r>
    <r>
      <rPr>
        <sz val="7"/>
        <color theme="1"/>
        <rFont val="Times New Roman"/>
        <family val="1"/>
      </rPr>
      <t xml:space="preserve">       </t>
    </r>
    <r>
      <rPr>
        <sz val="11"/>
        <color rgb="FF000000"/>
        <rFont val="RTA Office Light"/>
      </rPr>
      <t>Implement regular inspections following extreme weather events to assess Curb Stone integrity and address any damage promptly.</t>
    </r>
  </si>
  <si>
    <r>
      <t>2.</t>
    </r>
    <r>
      <rPr>
        <sz val="7"/>
        <color theme="1"/>
        <rFont val="Times New Roman"/>
        <family val="1"/>
      </rPr>
      <t xml:space="preserve">       </t>
    </r>
    <r>
      <rPr>
        <sz val="11"/>
        <color rgb="FF000000"/>
        <rFont val="RTA Office Light"/>
      </rPr>
      <t>Utilize weather forecasting technology to anticipate severe weather conditions and implement pre-emptive measures, such as increased maintenance patrols.</t>
    </r>
  </si>
  <si>
    <r>
      <t>3.</t>
    </r>
    <r>
      <rPr>
        <sz val="7"/>
        <color theme="1"/>
        <rFont val="Times New Roman"/>
        <family val="1"/>
      </rPr>
      <t xml:space="preserve">       </t>
    </r>
    <r>
      <rPr>
        <sz val="11"/>
        <color rgb="FF000000"/>
        <rFont val="RTA Office Light"/>
      </rPr>
      <t>Perform regular cleaning procedures to remove sand, vegetation, and other debris.</t>
    </r>
  </si>
  <si>
    <t>2. Flooding:</t>
  </si>
  <si>
    <r>
      <t>a.</t>
    </r>
    <r>
      <rPr>
        <sz val="7"/>
        <color theme="1"/>
        <rFont val="Times New Roman"/>
        <family val="1"/>
      </rPr>
      <t xml:space="preserve">       </t>
    </r>
    <r>
      <rPr>
        <sz val="11"/>
        <color rgb="FF000000"/>
        <rFont val="RTA Office Light"/>
      </rPr>
      <t>Heavy rainfall can result in flooding, which can damage Curb Stones, causing erosion and deterioration.</t>
    </r>
  </si>
  <si>
    <r>
      <t>3.</t>
    </r>
    <r>
      <rPr>
        <sz val="7"/>
        <color theme="1"/>
        <rFont val="Times New Roman"/>
        <family val="1"/>
      </rPr>
      <t xml:space="preserve">       </t>
    </r>
    <r>
      <rPr>
        <sz val="11"/>
        <color rgb="FF000000"/>
        <rFont val="RTA Office Light"/>
      </rPr>
      <t>Improve drainage systems to prevent water accumulation.</t>
    </r>
  </si>
  <si>
    <t>1. Regularly review and update compliance protocols to ensure they remain current with industry standards and regulatory requirements.</t>
  </si>
  <si>
    <t>2. Actively engage with policy makers to stay informed.</t>
  </si>
  <si>
    <r>
      <t>1.</t>
    </r>
    <r>
      <rPr>
        <sz val="7"/>
        <color theme="1"/>
        <rFont val="Times New Roman"/>
        <family val="1"/>
      </rPr>
      <t xml:space="preserve">        </t>
    </r>
    <r>
      <rPr>
        <sz val="11"/>
        <color rgb="FF000000"/>
        <rFont val="RTA Office Light"/>
      </rPr>
      <t>Diversity funding sources and maintain a contingency reserve to mitigate financial risk and handle unexpected costs.</t>
    </r>
  </si>
  <si>
    <t>3. Climate Change:</t>
  </si>
  <si>
    <r>
      <t>a.</t>
    </r>
    <r>
      <rPr>
        <sz val="7"/>
        <color theme="1"/>
        <rFont val="Times New Roman"/>
        <family val="1"/>
      </rPr>
      <t xml:space="preserve">       </t>
    </r>
    <r>
      <rPr>
        <sz val="11"/>
        <color rgb="FF000000"/>
        <rFont val="RTA Office Light"/>
      </rPr>
      <t>Environmental and Climate Change can damage the asset over time, causing erosion and deterioration.</t>
    </r>
  </si>
  <si>
    <t xml:space="preserve">1. Incorporate climate resilience into asset design and maintenance strategies to improve durability and ensure adaptability to changing environmental conditions, thereby safeguarding the infrastructure of the Curb Stones. </t>
  </si>
  <si>
    <r>
      <t>2.</t>
    </r>
    <r>
      <rPr>
        <sz val="7"/>
        <color theme="1"/>
        <rFont val="Times New Roman"/>
        <family val="1"/>
      </rPr>
      <t xml:space="preserve">      </t>
    </r>
    <r>
      <rPr>
        <sz val="11"/>
        <color rgb="FF000000"/>
        <rFont val="RTA Office Light"/>
      </rPr>
      <t>Conduct frequent inspections to identify and address damaged Curb Stones promptly.</t>
    </r>
  </si>
  <si>
    <t>4. Supply of sub-standards materials and installation issues, which results in:</t>
  </si>
  <si>
    <r>
      <t>c.</t>
    </r>
    <r>
      <rPr>
        <sz val="7"/>
        <color theme="1"/>
        <rFont val="Times New Roman"/>
        <family val="1"/>
      </rPr>
      <t xml:space="preserve">       </t>
    </r>
    <r>
      <rPr>
        <sz val="11"/>
        <color rgb="FF000000"/>
        <rFont val="RTA Office Light"/>
      </rPr>
      <t>Indirect effect on the maintenance budget due to extra expenditure on maintenance of Curb Stones.</t>
    </r>
  </si>
  <si>
    <r>
      <t>3.</t>
    </r>
    <r>
      <rPr>
        <sz val="7"/>
        <color theme="1"/>
        <rFont val="Times New Roman"/>
        <family val="1"/>
      </rPr>
      <t xml:space="preserve">      </t>
    </r>
    <r>
      <rPr>
        <sz val="11"/>
        <color rgb="FF000000"/>
        <rFont val="RTA Office Light"/>
      </rPr>
      <t>Introduction of performance-based contracting.</t>
    </r>
  </si>
  <si>
    <t>5. Collisions Due to Over Speeding:</t>
  </si>
  <si>
    <r>
      <t>b.</t>
    </r>
    <r>
      <rPr>
        <sz val="7"/>
        <color theme="1"/>
        <rFont val="Times New Roman"/>
        <family val="1"/>
      </rPr>
      <t xml:space="preserve">      </t>
    </r>
    <r>
      <rPr>
        <sz val="11"/>
        <color rgb="FF000000"/>
        <rFont val="RTA Office Light"/>
      </rPr>
      <t>Increased risk of collisions with Curb Stones due to over-speeding.</t>
    </r>
  </si>
  <si>
    <r>
      <t>c.</t>
    </r>
    <r>
      <rPr>
        <sz val="7"/>
        <color theme="1"/>
        <rFont val="Times New Roman"/>
        <family val="1"/>
      </rPr>
      <t xml:space="preserve">       </t>
    </r>
    <r>
      <rPr>
        <sz val="11"/>
        <color rgb="FF000000"/>
        <rFont val="RTA Office Light"/>
      </rPr>
      <t>Secondary accidents are caused by drivers losing control after colliding with Curb Stones due to high speed.</t>
    </r>
  </si>
  <si>
    <r>
      <t>1.</t>
    </r>
    <r>
      <rPr>
        <sz val="7"/>
        <color theme="1"/>
        <rFont val="Times New Roman"/>
        <family val="1"/>
      </rPr>
      <t xml:space="preserve">        </t>
    </r>
    <r>
      <rPr>
        <sz val="11"/>
        <color rgb="FF000000"/>
        <rFont val="RTA Office Light"/>
      </rPr>
      <t>Improve traffic flow and congestion management through measures such as traffic signal optimization, lane widening, or improved signage to reduce the likelihood of collisions.</t>
    </r>
  </si>
  <si>
    <r>
      <t>2.</t>
    </r>
    <r>
      <rPr>
        <sz val="7"/>
        <color theme="1"/>
        <rFont val="Times New Roman"/>
        <family val="1"/>
      </rPr>
      <t xml:space="preserve">      </t>
    </r>
    <r>
      <rPr>
        <sz val="11"/>
        <color rgb="FF000000"/>
        <rFont val="RTA Office Light"/>
      </rPr>
      <t>Enhance visibility and awareness of Curb Stones through reflective markers and lighting to alert drivers to potential hazards.</t>
    </r>
  </si>
  <si>
    <r>
      <t>3.</t>
    </r>
    <r>
      <rPr>
        <sz val="7"/>
        <color theme="1"/>
        <rFont val="Times New Roman"/>
        <family val="1"/>
      </rPr>
      <t xml:space="preserve">      </t>
    </r>
    <r>
      <rPr>
        <sz val="11"/>
        <color rgb="FF000000"/>
        <rFont val="RTA Office Light"/>
      </rPr>
      <t>Speed control measures, by imposing fines and issuing speed tickets for over speeding.</t>
    </r>
  </si>
  <si>
    <r>
      <t>a.</t>
    </r>
    <r>
      <rPr>
        <sz val="7"/>
        <color theme="1"/>
        <rFont val="Times New Roman"/>
        <family val="1"/>
      </rPr>
      <t xml:space="preserve">       </t>
    </r>
    <r>
      <rPr>
        <sz val="11"/>
        <color rgb="FF000000"/>
        <rFont val="RTA Office Light"/>
      </rPr>
      <t>Deliberate tampering with Curb Stone by vandals or malicious actors.</t>
    </r>
  </si>
  <si>
    <r>
      <t>b.</t>
    </r>
    <r>
      <rPr>
        <sz val="7"/>
        <color theme="1"/>
        <rFont val="Times New Roman"/>
        <family val="1"/>
      </rPr>
      <t xml:space="preserve">      </t>
    </r>
    <r>
      <rPr>
        <sz val="11"/>
        <color rgb="FF000000"/>
        <rFont val="RTA Office Light"/>
      </rPr>
      <t>Forms of defacement on Curb Stone surfaces, impairing visibility and aesthetics.</t>
    </r>
  </si>
  <si>
    <r>
      <t>1.</t>
    </r>
    <r>
      <rPr>
        <sz val="7"/>
        <color theme="1"/>
        <rFont val="Times New Roman"/>
        <family val="1"/>
      </rPr>
      <t xml:space="preserve">        </t>
    </r>
    <r>
      <rPr>
        <sz val="11"/>
        <color rgb="FF000000"/>
        <rFont val="RTA Office Light"/>
      </rPr>
      <t>Increase surveillance and security measures in areas prone to vandalism, such as remote or poorly lit locations, to deter unauthorized access and vandalism attempts.</t>
    </r>
  </si>
  <si>
    <r>
      <t>2.</t>
    </r>
    <r>
      <rPr>
        <sz val="7"/>
        <color theme="1"/>
        <rFont val="Times New Roman"/>
        <family val="1"/>
      </rPr>
      <t xml:space="preserve">      </t>
    </r>
    <r>
      <rPr>
        <sz val="11"/>
        <color rgb="FF000000"/>
        <rFont val="RTA Office Light"/>
      </rPr>
      <t>Implement anti-defacing coatings on Curb Stones to facilitate easier clean-up and discourage future vandalism.</t>
    </r>
  </si>
  <si>
    <t>C. Physical Asset Failures</t>
  </si>
  <si>
    <t>1. Deterioration:</t>
  </si>
  <si>
    <r>
      <t>a.</t>
    </r>
    <r>
      <rPr>
        <sz val="7"/>
        <color theme="1"/>
        <rFont val="Times New Roman"/>
        <family val="1"/>
      </rPr>
      <t xml:space="preserve">       </t>
    </r>
    <r>
      <rPr>
        <sz val="11"/>
        <color rgb="FF000000"/>
        <rFont val="RTA Office Light"/>
      </rPr>
      <t>Over time, materials used in Curb Stones can degrade, leading to cracks, deteriorations, compromising the overall structural integrity of the Curb Stone.</t>
    </r>
  </si>
  <si>
    <r>
      <t>1.</t>
    </r>
    <r>
      <rPr>
        <sz val="7"/>
        <color theme="1"/>
        <rFont val="Times New Roman"/>
        <family val="1"/>
      </rPr>
      <t xml:space="preserve">        </t>
    </r>
    <r>
      <rPr>
        <sz val="11"/>
        <color rgb="FF000000"/>
        <rFont val="RTA Office Light"/>
      </rPr>
      <t>Regularly inspect Curb Stones to identify early signs of deterioration.</t>
    </r>
  </si>
  <si>
    <r>
      <t>2.</t>
    </r>
    <r>
      <rPr>
        <sz val="7"/>
        <color theme="1"/>
        <rFont val="Times New Roman"/>
        <family val="1"/>
      </rPr>
      <t xml:space="preserve">      </t>
    </r>
    <r>
      <rPr>
        <sz val="11"/>
        <color rgb="FF000000"/>
        <rFont val="RTA Office Light"/>
      </rPr>
      <t>Perform timely repairs and maintenance to address any issues before they worsen.</t>
    </r>
  </si>
  <si>
    <r>
      <t>3.</t>
    </r>
    <r>
      <rPr>
        <sz val="7"/>
        <color theme="1"/>
        <rFont val="Times New Roman"/>
        <family val="1"/>
      </rPr>
      <t xml:space="preserve">      </t>
    </r>
    <r>
      <rPr>
        <sz val="11"/>
        <color rgb="FF000000"/>
        <rFont val="RTA Office Light"/>
      </rPr>
      <t>Implement protection measures to extend the service life of Curb Stone components.</t>
    </r>
  </si>
  <si>
    <t>RFMD Inspection and Maintenance Team, Curb Stone Material Supplier and Installer and the Maintenance Contractor</t>
  </si>
  <si>
    <t>2. Pedestrian Collision Hazards</t>
  </si>
  <si>
    <r>
      <t>a.</t>
    </r>
    <r>
      <rPr>
        <sz val="7"/>
        <color theme="1"/>
        <rFont val="Times New Roman"/>
        <family val="1"/>
      </rPr>
      <t xml:space="preserve">       </t>
    </r>
    <r>
      <rPr>
        <sz val="11"/>
        <color rgb="FF000000"/>
        <rFont val="RTA Office Light"/>
      </rPr>
      <t>Pedestrians may accidentally walk into damaged Curb Stones, leading to trips, falls and other injuries.</t>
    </r>
  </si>
  <si>
    <r>
      <t>1.</t>
    </r>
    <r>
      <rPr>
        <sz val="7"/>
        <color theme="1"/>
        <rFont val="Times New Roman"/>
        <family val="1"/>
      </rPr>
      <t xml:space="preserve">        </t>
    </r>
    <r>
      <rPr>
        <sz val="11"/>
        <color rgb="FF000000"/>
        <rFont val="RTA Office Light"/>
      </rPr>
      <t>Conduct frequent inspections to identify and address damaged Curb Stones promptly.</t>
    </r>
  </si>
  <si>
    <r>
      <t>2.</t>
    </r>
    <r>
      <rPr>
        <sz val="7"/>
        <color theme="1"/>
        <rFont val="Times New Roman"/>
        <family val="1"/>
      </rPr>
      <t xml:space="preserve">      </t>
    </r>
    <r>
      <rPr>
        <sz val="11"/>
        <color rgb="FF000000"/>
        <rFont val="RTA Office Light"/>
      </rPr>
      <t>Place temporary warning signs around damaged Curb Stones to alert pedestrians and prevent accidents until repairs are made.</t>
    </r>
  </si>
  <si>
    <t>3. Accessibility Issues</t>
  </si>
  <si>
    <r>
      <t>b.</t>
    </r>
    <r>
      <rPr>
        <sz val="7"/>
        <color theme="1"/>
        <rFont val="Times New Roman"/>
        <family val="1"/>
      </rPr>
      <t xml:space="preserve">      </t>
    </r>
    <r>
      <rPr>
        <sz val="11"/>
        <color rgb="FF000000"/>
        <rFont val="RTA Office Light"/>
      </rPr>
      <t>Poorly placed or damaged Curb Stones can obstruct the path of individuals with mobility impairments, creating accessibility barriers.</t>
    </r>
  </si>
  <si>
    <r>
      <t>1.</t>
    </r>
    <r>
      <rPr>
        <sz val="7"/>
        <color theme="1"/>
        <rFont val="Times New Roman"/>
        <family val="1"/>
      </rPr>
      <t xml:space="preserve">        </t>
    </r>
    <r>
      <rPr>
        <sz val="11"/>
        <color rgb="FF000000"/>
        <rFont val="RTA Office Light"/>
      </rPr>
      <t>Ensure Curb Stones are placed in locations that do not obstruct accessible pathways.</t>
    </r>
  </si>
  <si>
    <r>
      <t>2.</t>
    </r>
    <r>
      <rPr>
        <sz val="7"/>
        <color theme="1"/>
        <rFont val="Times New Roman"/>
        <family val="1"/>
      </rPr>
      <t xml:space="preserve">      </t>
    </r>
    <r>
      <rPr>
        <sz val="11"/>
        <color rgb="FF000000"/>
        <rFont val="RTA Office Light"/>
      </rPr>
      <t>Implement regular inspections to assess Curb Stone integrity and address any damage promptly.</t>
    </r>
  </si>
  <si>
    <t>4. Inadequate Design or Installation</t>
  </si>
  <si>
    <r>
      <t>a.</t>
    </r>
    <r>
      <rPr>
        <sz val="7"/>
        <color theme="1"/>
        <rFont val="Times New Roman"/>
        <family val="1"/>
      </rPr>
      <t xml:space="preserve">       </t>
    </r>
    <r>
      <rPr>
        <sz val="11"/>
        <color rgb="FF000000"/>
        <rFont val="RTA Office Light"/>
      </rPr>
      <t>Curb Stones installations not meeting required standards may pose collision risks to vehicles, cyclists, and pedestrians, especially in low-visibility conditions.</t>
    </r>
  </si>
  <si>
    <r>
      <t>1.</t>
    </r>
    <r>
      <rPr>
        <sz val="7"/>
        <color theme="1"/>
        <rFont val="Times New Roman"/>
        <family val="1"/>
      </rPr>
      <t xml:space="preserve">        </t>
    </r>
    <r>
      <rPr>
        <sz val="11"/>
        <color rgb="FF000000"/>
        <rFont val="RTA Office Light"/>
      </rPr>
      <t>Ensure compliance with relevant design standards and requirements during the planning and installation phases of Curb Stone projects.</t>
    </r>
  </si>
  <si>
    <r>
      <t>2.</t>
    </r>
    <r>
      <rPr>
        <sz val="7"/>
        <color theme="1"/>
        <rFont val="Times New Roman"/>
        <family val="1"/>
      </rPr>
      <t xml:space="preserve">      </t>
    </r>
    <r>
      <rPr>
        <sz val="11"/>
        <color rgb="FF000000"/>
        <rFont val="RTA Office Light"/>
      </rPr>
      <t xml:space="preserve">Conduct thorough site assessments to identify potential hazards and optimize Curb Stone placement. </t>
    </r>
  </si>
  <si>
    <t>5. Failure to Inspect and Maintain</t>
  </si>
  <si>
    <r>
      <t>c.</t>
    </r>
    <r>
      <rPr>
        <sz val="7"/>
        <color theme="1"/>
        <rFont val="Times New Roman"/>
        <family val="1"/>
      </rPr>
      <t xml:space="preserve">       </t>
    </r>
    <r>
      <rPr>
        <sz val="11"/>
        <color rgb="FF000000"/>
        <rFont val="RTA Office Light"/>
      </rPr>
      <t>Lack of routine inspections leading to undetected defects or deterioration in Curb Stone components.</t>
    </r>
  </si>
  <si>
    <r>
      <t>d.</t>
    </r>
    <r>
      <rPr>
        <sz val="7"/>
        <color theme="1"/>
        <rFont val="Times New Roman"/>
        <family val="1"/>
      </rPr>
      <t xml:space="preserve">      </t>
    </r>
    <r>
      <rPr>
        <sz val="11"/>
        <color rgb="FF000000"/>
        <rFont val="RTA Office Light"/>
      </rPr>
      <t>Inadequate maintenance practices resulting in missed opportunities to address minor issues before they escalate into major failures.</t>
    </r>
  </si>
  <si>
    <t>2. Establish a proactive maintenance program focused on preventive measures such as cleaning and painting, to prolong Curb Stone lifespan.</t>
  </si>
  <si>
    <t>R004</t>
  </si>
  <si>
    <t>D. Operational Risk Events</t>
  </si>
  <si>
    <r>
      <t>a.</t>
    </r>
    <r>
      <rPr>
        <sz val="7"/>
        <color theme="1"/>
        <rFont val="Times New Roman"/>
        <family val="1"/>
      </rPr>
      <t xml:space="preserve">       </t>
    </r>
    <r>
      <rPr>
        <sz val="11"/>
        <color rgb="FF000000"/>
        <rFont val="RTA Office Light"/>
      </rPr>
      <t>Delays in responding to reported Curb Stone damages due to ineffective communication or resource allocation.</t>
    </r>
  </si>
  <si>
    <r>
      <t>b.</t>
    </r>
    <r>
      <rPr>
        <sz val="7"/>
        <color theme="1"/>
        <rFont val="Times New Roman"/>
        <family val="1"/>
      </rPr>
      <t xml:space="preserve">      </t>
    </r>
    <r>
      <rPr>
        <sz val="11"/>
        <color rgb="FF000000"/>
        <rFont val="RTA Office Light"/>
      </rPr>
      <t>Lack of standardized procedures or protocols for assessing and prioritizing Curb Stone repairs, leading to inconsistent outcomes.</t>
    </r>
  </si>
  <si>
    <r>
      <t>1.</t>
    </r>
    <r>
      <rPr>
        <sz val="7"/>
        <color theme="1"/>
        <rFont val="Times New Roman"/>
        <family val="1"/>
      </rPr>
      <t xml:space="preserve">        </t>
    </r>
    <r>
      <rPr>
        <sz val="11"/>
        <color rgb="FF000000"/>
        <rFont val="RTA Office Light"/>
      </rPr>
      <t>Implement a centralized reporting system for documenting and tracking Curb Stone damage reports, streamlining communication and ensuring timely responses.</t>
    </r>
  </si>
  <si>
    <r>
      <t>a.</t>
    </r>
    <r>
      <rPr>
        <sz val="7"/>
        <color theme="1"/>
        <rFont val="Times New Roman"/>
        <family val="1"/>
      </rPr>
      <t xml:space="preserve">       </t>
    </r>
    <r>
      <rPr>
        <sz val="11"/>
        <color rgb="FF000000"/>
        <rFont val="RTA Office Light"/>
      </rPr>
      <t>Insufficient training for maintenance personnel in identifying, assessing, and repairing Curb Stone defects or damage.</t>
    </r>
  </si>
  <si>
    <r>
      <t>1.</t>
    </r>
    <r>
      <rPr>
        <sz val="7"/>
        <color theme="1"/>
        <rFont val="Times New Roman"/>
        <family val="1"/>
      </rPr>
      <t xml:space="preserve">        </t>
    </r>
    <r>
      <rPr>
        <sz val="11"/>
        <color rgb="FF000000"/>
        <rFont val="RTA Office Light"/>
      </rPr>
      <t>Develop a comprehensive training program covering Curb Stone inspection techniques, repair procedures, safety protocols, and equipment operation.</t>
    </r>
  </si>
  <si>
    <r>
      <t>a.</t>
    </r>
    <r>
      <rPr>
        <sz val="7"/>
        <color theme="1"/>
        <rFont val="Times New Roman"/>
        <family val="1"/>
      </rPr>
      <t xml:space="preserve">       </t>
    </r>
    <r>
      <rPr>
        <sz val="11"/>
        <color rgb="FF000000"/>
        <rFont val="RTA Office Light"/>
      </rPr>
      <t>Limited funding for Curb Stone maintenance and repair activities, resulting in deferred maintenance and increased asset deterioration.</t>
    </r>
  </si>
  <si>
    <r>
      <t>b.</t>
    </r>
    <r>
      <rPr>
        <sz val="7"/>
        <color theme="1"/>
        <rFont val="Times New Roman"/>
        <family val="1"/>
      </rPr>
      <t xml:space="preserve">      </t>
    </r>
    <r>
      <rPr>
        <sz val="11"/>
        <color rgb="FF000000"/>
        <rFont val="RTA Office Light"/>
      </rPr>
      <t>Inability to invest in technological advancements or innovative solutions to improve Curb Stone performance and longevity.</t>
    </r>
  </si>
  <si>
    <r>
      <t>1.</t>
    </r>
    <r>
      <rPr>
        <sz val="7"/>
        <color theme="1"/>
        <rFont val="Times New Roman"/>
        <family val="1"/>
      </rPr>
      <t xml:space="preserve">        </t>
    </r>
    <r>
      <rPr>
        <sz val="11"/>
        <color rgb="FF000000"/>
        <rFont val="RTA Office Light"/>
      </rPr>
      <t>Advocate for dedicated funding allocations for Curb Stone maintenance and repair as part of the annual budgeting process, highlighting the importance of preserving critical infrastructure assets and ensuring public safety.</t>
    </r>
  </si>
  <si>
    <t>RTA planning and design section.</t>
  </si>
  <si>
    <t>R005</t>
  </si>
  <si>
    <t>E. Operational Risk Events</t>
  </si>
  <si>
    <r>
      <t>a.</t>
    </r>
    <r>
      <rPr>
        <sz val="7"/>
        <color theme="1"/>
        <rFont val="Times New Roman"/>
        <family val="1"/>
      </rPr>
      <t xml:space="preserve">     </t>
    </r>
    <r>
      <rPr>
        <sz val="11"/>
        <color rgb="FF000000"/>
        <rFont val="RTA Office Light"/>
      </rPr>
      <t>Sand accumulation, as large amount of sand can land on the footpath, leading to blockages or slippery surfaces, which is hazardous to pedestrians.</t>
    </r>
  </si>
  <si>
    <r>
      <t>c.</t>
    </r>
    <r>
      <rPr>
        <sz val="7"/>
        <color theme="1"/>
        <rFont val="Times New Roman"/>
        <family val="1"/>
      </rPr>
      <t xml:space="preserve">     </t>
    </r>
    <r>
      <rPr>
        <sz val="11"/>
        <color rgb="FF000000"/>
        <rFont val="RTA Office Light"/>
      </rPr>
      <t xml:space="preserve">Continuous sand abrasion carried by strong winds, can wear down the surface of footpaths. </t>
    </r>
  </si>
  <si>
    <r>
      <t>a.</t>
    </r>
    <r>
      <rPr>
        <sz val="7"/>
        <color theme="1"/>
        <rFont val="Times New Roman"/>
        <family val="1"/>
      </rPr>
      <t xml:space="preserve">       </t>
    </r>
    <r>
      <rPr>
        <sz val="11"/>
        <color rgb="FF000000"/>
        <rFont val="RTA Office Light"/>
      </rPr>
      <t xml:space="preserve">Heavy rainfall can result in flooding, which can damage the Footpath, causing erosion, deterioration, resulting in structural damage and cracks. </t>
    </r>
  </si>
  <si>
    <r>
      <t>b.</t>
    </r>
    <r>
      <rPr>
        <sz val="7"/>
        <color theme="1"/>
        <rFont val="Times New Roman"/>
        <family val="1"/>
      </rPr>
      <t xml:space="preserve">      </t>
    </r>
    <r>
      <rPr>
        <sz val="11"/>
        <color rgb="FF000000"/>
        <rFont val="RTA Office Light"/>
      </rPr>
      <t>Floodwater carry debris, which could carry into the Footpath, leading to obstacles for pedestrians.</t>
    </r>
  </si>
  <si>
    <r>
      <t>1.</t>
    </r>
    <r>
      <rPr>
        <sz val="7"/>
        <color theme="1"/>
        <rFont val="Times New Roman"/>
        <family val="1"/>
      </rPr>
      <t xml:space="preserve">        </t>
    </r>
    <r>
      <rPr>
        <sz val="11"/>
        <color rgb="FF000000"/>
        <rFont val="RTA Office Light"/>
      </rPr>
      <t>Regular Inspection and Maintenance after flooding events to assess damage done to Footpath, to identify vulnerabilities and remove any debris taken with the water.</t>
    </r>
  </si>
  <si>
    <r>
      <t>2.</t>
    </r>
    <r>
      <rPr>
        <sz val="7"/>
        <color theme="1"/>
        <rFont val="Times New Roman"/>
        <family val="1"/>
      </rPr>
      <t xml:space="preserve">      </t>
    </r>
    <r>
      <rPr>
        <sz val="11"/>
        <color rgb="FF000000"/>
        <rFont val="RTA Office Light"/>
      </rPr>
      <t>Implement drainage systems, to channel the water away from the Footpath and keep it dry.</t>
    </r>
  </si>
  <si>
    <r>
      <t>3.</t>
    </r>
    <r>
      <rPr>
        <sz val="7"/>
        <color theme="1"/>
        <rFont val="Times New Roman"/>
        <family val="1"/>
      </rPr>
      <t xml:space="preserve">      </t>
    </r>
    <r>
      <rPr>
        <sz val="11"/>
        <color rgb="FF000000"/>
        <rFont val="RTA Office Light"/>
      </rPr>
      <t>Reinforce the structural integrity of Footpath with erosion-resistant materials to surrounding areas to withstand the pressure and force of floodwaters.</t>
    </r>
  </si>
  <si>
    <r>
      <t>1.</t>
    </r>
    <r>
      <rPr>
        <sz val="7"/>
        <color rgb="FF000000"/>
        <rFont val="Times New Roman"/>
        <family val="1"/>
      </rPr>
      <t xml:space="preserve">        </t>
    </r>
    <r>
      <rPr>
        <sz val="11"/>
        <color rgb="FF000000"/>
        <rFont val="RTA Office Light"/>
      </rPr>
      <t>Regular Inspection and Maintenance after heating events to assess damage done to Footpath.</t>
    </r>
  </si>
  <si>
    <r>
      <t>2.</t>
    </r>
    <r>
      <rPr>
        <sz val="7"/>
        <color theme="1"/>
        <rFont val="Times New Roman"/>
        <family val="1"/>
      </rPr>
      <t xml:space="preserve">      </t>
    </r>
    <r>
      <rPr>
        <sz val="11"/>
        <color rgb="FF000000"/>
        <rFont val="RTA Office Light"/>
      </rPr>
      <t>Encourage responsible use of footpaths, including promoting walking and cycling etiquette.</t>
    </r>
  </si>
  <si>
    <t>Environmental and Climate Change can damage the Footpath over time, causing erosion and deterioration.</t>
  </si>
  <si>
    <r>
      <t>1.</t>
    </r>
    <r>
      <rPr>
        <sz val="7"/>
        <color theme="1"/>
        <rFont val="Times New Roman"/>
        <family val="1"/>
      </rPr>
      <t xml:space="preserve">        </t>
    </r>
    <r>
      <rPr>
        <sz val="11"/>
        <color rgb="FF000000"/>
        <rFont val="RTA Office Light"/>
      </rPr>
      <t xml:space="preserve">Incorporate climate resilience into asset design and maintenance strategies to improve durability and ensure adaptability to changing environmental conditions, thereby safeguarding the infrastructure of the Footpath. </t>
    </r>
  </si>
  <si>
    <r>
      <t>2.</t>
    </r>
    <r>
      <rPr>
        <sz val="7"/>
        <color theme="1"/>
        <rFont val="Times New Roman"/>
        <family val="1"/>
      </rPr>
      <t xml:space="preserve">      </t>
    </r>
    <r>
      <rPr>
        <sz val="11"/>
        <color rgb="FF000000"/>
        <rFont val="RTA Office Light"/>
      </rPr>
      <t>Conduct frequent inspections to identify and address damaged Footpath promptly.</t>
    </r>
  </si>
  <si>
    <r>
      <t>c.</t>
    </r>
    <r>
      <rPr>
        <sz val="7"/>
        <color theme="1"/>
        <rFont val="Times New Roman"/>
        <family val="1"/>
      </rPr>
      <t xml:space="preserve">       </t>
    </r>
    <r>
      <rPr>
        <sz val="11"/>
        <color rgb="FF000000"/>
        <rFont val="RTA Office Light"/>
      </rPr>
      <t>Indirect effect on the maintenance budget due to extra expenditure on maintenance of Footpath.</t>
    </r>
  </si>
  <si>
    <r>
      <t>a.</t>
    </r>
    <r>
      <rPr>
        <sz val="7"/>
        <color theme="1"/>
        <rFont val="Times New Roman"/>
        <family val="1"/>
      </rPr>
      <t xml:space="preserve">       </t>
    </r>
    <r>
      <rPr>
        <sz val="11"/>
        <color rgb="FF000000"/>
        <rFont val="RTA Office Light"/>
      </rPr>
      <t>Deliberate tampering with Footpath by vandals or malicious actors.</t>
    </r>
  </si>
  <si>
    <r>
      <t>b.</t>
    </r>
    <r>
      <rPr>
        <sz val="7"/>
        <color theme="1"/>
        <rFont val="Times New Roman"/>
        <family val="1"/>
      </rPr>
      <t xml:space="preserve">      </t>
    </r>
    <r>
      <rPr>
        <sz val="11"/>
        <color rgb="FF000000"/>
        <rFont val="RTA Office Light"/>
      </rPr>
      <t>Forms of defacement on Footpath surfaces, impairing functionality and aesthetics.</t>
    </r>
  </si>
  <si>
    <r>
      <t>1.</t>
    </r>
    <r>
      <rPr>
        <sz val="7"/>
        <color theme="1"/>
        <rFont val="Times New Roman"/>
        <family val="1"/>
      </rPr>
      <t xml:space="preserve">        </t>
    </r>
    <r>
      <rPr>
        <sz val="11"/>
        <color rgb="FF000000"/>
        <rFont val="RTA Office Light"/>
      </rPr>
      <t>Educate the public on the importance of footpath maintenance and how they can help, such as avoiding littering and reporting damage.</t>
    </r>
  </si>
  <si>
    <r>
      <t>a.</t>
    </r>
    <r>
      <rPr>
        <sz val="7"/>
        <color theme="1"/>
        <rFont val="Times New Roman"/>
        <family val="1"/>
      </rPr>
      <t xml:space="preserve">       </t>
    </r>
    <r>
      <rPr>
        <sz val="11"/>
        <color rgb="FF000000"/>
        <rFont val="RTA Office Light"/>
      </rPr>
      <t>Erosion, expansion, or contraction of the underlying soil: These changes destabilize the foundation of the footpath, causing it to shift and settle unevenly.</t>
    </r>
  </si>
  <si>
    <r>
      <t>b.</t>
    </r>
    <r>
      <rPr>
        <sz val="7"/>
        <color theme="1"/>
        <rFont val="Times New Roman"/>
        <family val="1"/>
      </rPr>
      <t xml:space="preserve">      </t>
    </r>
    <r>
      <rPr>
        <sz val="11"/>
        <color rgb="FF000000"/>
        <rFont val="RTA Office Light"/>
      </rPr>
      <t>Destabilization leads to surface issues: This movement results in the formation of cracks and uneven surfaces, creating tripping hazards and making the footpath difficult to navigate.</t>
    </r>
  </si>
  <si>
    <r>
      <t>1.</t>
    </r>
    <r>
      <rPr>
        <sz val="7"/>
        <color theme="1"/>
        <rFont val="Times New Roman"/>
        <family val="1"/>
      </rPr>
      <t xml:space="preserve">        </t>
    </r>
    <r>
      <rPr>
        <sz val="11"/>
        <color rgb="FF000000"/>
        <rFont val="RTA Office Light"/>
      </rPr>
      <t>Regularly inspect Footpaths for signs of settlement.</t>
    </r>
  </si>
  <si>
    <t xml:space="preserve">2. Use geotextiles or geogrids to reinforce the soil beneath the footpath, which helps distribute loads and stabilize the ground. </t>
  </si>
  <si>
    <t>RFMD Inspection and Maintenance Team, Footpath Material Supplier and Installer and the Maintenance Contractor</t>
  </si>
  <si>
    <r>
      <t>1.</t>
    </r>
    <r>
      <rPr>
        <sz val="7"/>
        <color theme="1"/>
        <rFont val="Times New Roman"/>
        <family val="1"/>
      </rPr>
      <t xml:space="preserve">        </t>
    </r>
    <r>
      <rPr>
        <sz val="11"/>
        <color rgb="FF000000"/>
        <rFont val="RTA Office Light"/>
      </rPr>
      <t>Ensure compliance with relevant design standards and requirements during the planning and construction phases of Footpath projects.</t>
    </r>
  </si>
  <si>
    <r>
      <t>2.</t>
    </r>
    <r>
      <rPr>
        <sz val="7"/>
        <color theme="1"/>
        <rFont val="Times New Roman"/>
        <family val="1"/>
      </rPr>
      <t xml:space="preserve">      </t>
    </r>
    <r>
      <rPr>
        <sz val="11"/>
        <color rgb="FF000000"/>
        <rFont val="RTA Office Light"/>
      </rPr>
      <t xml:space="preserve">Conduct thorough site assessments to identify potential hazards and optimize footpath placement. </t>
    </r>
  </si>
  <si>
    <r>
      <t>a.</t>
    </r>
    <r>
      <rPr>
        <sz val="7"/>
        <color theme="1"/>
        <rFont val="Times New Roman"/>
        <family val="1"/>
      </rPr>
      <t xml:space="preserve">       </t>
    </r>
    <r>
      <rPr>
        <sz val="11"/>
        <color rgb="FF000000"/>
        <rFont val="RTA Office Light"/>
      </rPr>
      <t>Delays in responding to reported Footpath damages due to ineffective communication or resource allocation.</t>
    </r>
  </si>
  <si>
    <r>
      <t>b.</t>
    </r>
    <r>
      <rPr>
        <sz val="7"/>
        <color theme="1"/>
        <rFont val="Times New Roman"/>
        <family val="1"/>
      </rPr>
      <t xml:space="preserve">      </t>
    </r>
    <r>
      <rPr>
        <sz val="11"/>
        <color rgb="FF000000"/>
        <rFont val="RTA Office Light"/>
      </rPr>
      <t>Lack of standardized procedures or protocols for assessing and prioritizing Footpath repairs, leading to inconsistent outcomes.</t>
    </r>
  </si>
  <si>
    <r>
      <t>1.</t>
    </r>
    <r>
      <rPr>
        <sz val="7"/>
        <color theme="1"/>
        <rFont val="Times New Roman"/>
        <family val="1"/>
      </rPr>
      <t xml:space="preserve">        </t>
    </r>
    <r>
      <rPr>
        <sz val="11"/>
        <color rgb="FF000000"/>
        <rFont val="RTA Office Light"/>
      </rPr>
      <t>Implement a centralized reporting system for documenting and tracking Footpath damage reports, streamlining communication and ensuring timely responses.</t>
    </r>
  </si>
  <si>
    <r>
      <t>a.</t>
    </r>
    <r>
      <rPr>
        <sz val="7"/>
        <color theme="1"/>
        <rFont val="Times New Roman"/>
        <family val="1"/>
      </rPr>
      <t xml:space="preserve">       </t>
    </r>
    <r>
      <rPr>
        <sz val="11"/>
        <color rgb="FF000000"/>
        <rFont val="RTA Office Light"/>
      </rPr>
      <t>Insufficient training for maintenance personnel in identifying, assessing, and repairing Footpath defects or damage.</t>
    </r>
  </si>
  <si>
    <r>
      <t>1.</t>
    </r>
    <r>
      <rPr>
        <sz val="7"/>
        <color theme="1"/>
        <rFont val="Times New Roman"/>
        <family val="1"/>
      </rPr>
      <t xml:space="preserve">        </t>
    </r>
    <r>
      <rPr>
        <sz val="11"/>
        <color rgb="FF000000"/>
        <rFont val="RTA Office Light"/>
      </rPr>
      <t>Develop a comprehensive training program covering Footpath inspection techniques, repair procedures, safety protocols, and equipment operation.</t>
    </r>
  </si>
  <si>
    <r>
      <t>a.</t>
    </r>
    <r>
      <rPr>
        <sz val="7"/>
        <color theme="1"/>
        <rFont val="Times New Roman"/>
        <family val="1"/>
      </rPr>
      <t xml:space="preserve">       </t>
    </r>
    <r>
      <rPr>
        <sz val="11"/>
        <color rgb="FF000000"/>
        <rFont val="RTA Office Light"/>
      </rPr>
      <t>Limited funding for Footpath maintenance and repair activities, resulting in deferred maintenance and increased asset deterioration.</t>
    </r>
  </si>
  <si>
    <r>
      <t>b.</t>
    </r>
    <r>
      <rPr>
        <sz val="7"/>
        <color theme="1"/>
        <rFont val="Times New Roman"/>
        <family val="1"/>
      </rPr>
      <t xml:space="preserve">      </t>
    </r>
    <r>
      <rPr>
        <sz val="11"/>
        <color rgb="FF000000"/>
        <rFont val="RTA Office Light"/>
      </rPr>
      <t>Inability to invest in technological advancements or innovative solutions to improve Footpath performance and longevity.</t>
    </r>
  </si>
  <si>
    <r>
      <t>1.</t>
    </r>
    <r>
      <rPr>
        <sz val="7"/>
        <color theme="1"/>
        <rFont val="Times New Roman"/>
        <family val="1"/>
      </rPr>
      <t xml:space="preserve">        </t>
    </r>
    <r>
      <rPr>
        <sz val="11"/>
        <color rgb="FF000000"/>
        <rFont val="RTA Office Light"/>
      </rPr>
      <t>Advocate for dedicated funding allocations for Footpath maintenance and repair as part of the annual budgeting process, highlighting the importance of preserving critical infrastructure assets and ensuring public safety.</t>
    </r>
  </si>
  <si>
    <r>
      <t>C.</t>
    </r>
    <r>
      <rPr>
        <b/>
        <sz val="7"/>
        <color rgb="FF000000"/>
        <rFont val="Times New Roman"/>
        <family val="1"/>
      </rPr>
      <t xml:space="preserve">    </t>
    </r>
    <r>
      <rPr>
        <b/>
        <sz val="11"/>
        <color rgb="FF000000"/>
        <rFont val="RTA Office Light"/>
      </rPr>
      <t>Operational Risk Events</t>
    </r>
  </si>
  <si>
    <r>
      <t>a.</t>
    </r>
    <r>
      <rPr>
        <sz val="7"/>
        <color theme="1"/>
        <rFont val="Times New Roman"/>
        <family val="1"/>
      </rPr>
      <t xml:space="preserve">       </t>
    </r>
    <r>
      <rPr>
        <sz val="11"/>
        <color rgb="FF000000"/>
        <rFont val="RTA Office Light"/>
      </rPr>
      <t>Sandstorms cause abrasion and erosion of Road Hump surfaces, causing paint deteriorations.</t>
    </r>
  </si>
  <si>
    <r>
      <t>1.</t>
    </r>
    <r>
      <rPr>
        <sz val="7"/>
        <color theme="1"/>
        <rFont val="Times New Roman"/>
        <family val="1"/>
      </rPr>
      <t xml:space="preserve">       </t>
    </r>
    <r>
      <rPr>
        <sz val="11"/>
        <color rgb="FF000000"/>
        <rFont val="RTA Office Light"/>
      </rPr>
      <t>Implement regular inspections following extreme weather events to assess Road Hump integrity and address any damage promptly.</t>
    </r>
  </si>
  <si>
    <r>
      <t>3.</t>
    </r>
    <r>
      <rPr>
        <sz val="7"/>
        <color theme="1"/>
        <rFont val="Times New Roman"/>
        <family val="1"/>
      </rPr>
      <t xml:space="preserve">       </t>
    </r>
    <r>
      <rPr>
        <sz val="11"/>
        <color rgb="FF000000"/>
        <rFont val="RTA Office Light"/>
      </rPr>
      <t>Implement protection measures, such as using protective coatings, to reduce erosion and extend the service life of the Road Hump.</t>
    </r>
  </si>
  <si>
    <r>
      <t>b.</t>
    </r>
    <r>
      <rPr>
        <sz val="7"/>
        <color theme="1"/>
        <rFont val="Times New Roman"/>
        <family val="1"/>
      </rPr>
      <t xml:space="preserve">      </t>
    </r>
    <r>
      <rPr>
        <sz val="11"/>
        <color rgb="FF000000"/>
        <rFont val="RTA Office Light"/>
      </rPr>
      <t>Heavy rainfall can result in flooding, which can damage Road Humps, causing erosion and deterioration.</t>
    </r>
  </si>
  <si>
    <t xml:space="preserve">1. Incorporate climate resilience into asset design and maintenance strategies to improve durability and ensure adaptability to changing environmental conditions, thereby safeguarding the infrastructure of the Road Hump. </t>
  </si>
  <si>
    <r>
      <t>2.</t>
    </r>
    <r>
      <rPr>
        <sz val="7"/>
        <color theme="1"/>
        <rFont val="Times New Roman"/>
        <family val="1"/>
      </rPr>
      <t xml:space="preserve">      </t>
    </r>
    <r>
      <rPr>
        <sz val="11"/>
        <color rgb="FF000000"/>
        <rFont val="RTA Office Light"/>
      </rPr>
      <t>Conduct frequent inspections to identify and address damaged Road Humps promptly.</t>
    </r>
  </si>
  <si>
    <r>
      <t>c.</t>
    </r>
    <r>
      <rPr>
        <sz val="7"/>
        <color theme="1"/>
        <rFont val="Times New Roman"/>
        <family val="1"/>
      </rPr>
      <t xml:space="preserve">       </t>
    </r>
    <r>
      <rPr>
        <sz val="11"/>
        <color rgb="FF000000"/>
        <rFont val="RTA Office Light"/>
      </rPr>
      <t>Indirect effect on the maintenance budget due to extra expenditure on maintenance of Road Humps.</t>
    </r>
  </si>
  <si>
    <t>5. Accidents Due to Over Speeding:</t>
  </si>
  <si>
    <r>
      <t>b.</t>
    </r>
    <r>
      <rPr>
        <sz val="7"/>
        <color theme="1"/>
        <rFont val="Times New Roman"/>
        <family val="1"/>
      </rPr>
      <t xml:space="preserve">      </t>
    </r>
    <r>
      <rPr>
        <sz val="11"/>
        <color rgb="FF000000"/>
        <rFont val="RTA Office Light"/>
      </rPr>
      <t>Paint damage or deteriorations on Road Humps can increase the risk of accidents due to reduced visibility.</t>
    </r>
  </si>
  <si>
    <r>
      <t>c.</t>
    </r>
    <r>
      <rPr>
        <sz val="7"/>
        <color theme="1"/>
        <rFont val="Times New Roman"/>
        <family val="1"/>
      </rPr>
      <t xml:space="preserve">       </t>
    </r>
    <r>
      <rPr>
        <sz val="11"/>
        <color rgb="FF000000"/>
        <rFont val="RTA Office Light"/>
      </rPr>
      <t>Structural damage on Road Humps can create un-even surfaces, which can cause the vehicle to tip slightly, potentially causing the driver to lose balance or lose control, leading to accidents.</t>
    </r>
  </si>
  <si>
    <r>
      <t>1.</t>
    </r>
    <r>
      <rPr>
        <sz val="7"/>
        <color theme="1"/>
        <rFont val="Times New Roman"/>
        <family val="1"/>
      </rPr>
      <t xml:space="preserve">       </t>
    </r>
    <r>
      <rPr>
        <sz val="11"/>
        <color rgb="FF000000"/>
        <rFont val="RTA Office Light"/>
      </rPr>
      <t>Regular inspection and maintenance schedules to promptly identify and repaint faded or damaged Road Humps.</t>
    </r>
  </si>
  <si>
    <r>
      <t>2.</t>
    </r>
    <r>
      <rPr>
        <sz val="7"/>
        <color theme="1"/>
        <rFont val="Times New Roman"/>
        <family val="1"/>
      </rPr>
      <t xml:space="preserve">     </t>
    </r>
    <r>
      <rPr>
        <sz val="11"/>
        <color rgb="FF000000"/>
        <rFont val="RTA Office Light"/>
      </rPr>
      <t>Routine inspections to detect and repair any structural damage to Road Humps, ensuring they remain safe for vehicles.</t>
    </r>
  </si>
  <si>
    <r>
      <t>3.</t>
    </r>
    <r>
      <rPr>
        <sz val="7"/>
        <color theme="1"/>
        <rFont val="Times New Roman"/>
        <family val="1"/>
      </rPr>
      <t xml:space="preserve">      </t>
    </r>
    <r>
      <rPr>
        <sz val="11"/>
        <color rgb="FF000000"/>
        <rFont val="RTA Office Light"/>
      </rPr>
      <t>Enhance visibility and awareness of Road Humps through reflective markers and road signs to alert drivers to potential hazards.</t>
    </r>
  </si>
  <si>
    <r>
      <t>4.</t>
    </r>
    <r>
      <rPr>
        <sz val="7"/>
        <color theme="1"/>
        <rFont val="Times New Roman"/>
        <family val="1"/>
      </rPr>
      <t xml:space="preserve">      </t>
    </r>
    <r>
      <rPr>
        <sz val="11"/>
        <color rgb="FF000000"/>
        <rFont val="RTA Office Light"/>
      </rPr>
      <t>Speed control measures, by imposing fines and issuing speed tickets for over speeding.</t>
    </r>
  </si>
  <si>
    <t>6. Vandalism or Intentional Damage:</t>
  </si>
  <si>
    <r>
      <t>a.</t>
    </r>
    <r>
      <rPr>
        <sz val="7"/>
        <color theme="1"/>
        <rFont val="Times New Roman"/>
        <family val="1"/>
      </rPr>
      <t xml:space="preserve">       </t>
    </r>
    <r>
      <rPr>
        <sz val="11"/>
        <color rgb="FF000000"/>
        <rFont val="RTA Office Light"/>
      </rPr>
      <t>Deliberate tampering of Road Humps by vandals or malicious actors.</t>
    </r>
  </si>
  <si>
    <r>
      <t>b.</t>
    </r>
    <r>
      <rPr>
        <sz val="7"/>
        <color theme="1"/>
        <rFont val="Times New Roman"/>
        <family val="1"/>
      </rPr>
      <t xml:space="preserve">      </t>
    </r>
    <r>
      <rPr>
        <sz val="11"/>
        <color rgb="FF000000"/>
        <rFont val="RTA Office Light"/>
      </rPr>
      <t>Forms of defacement on Road Hump surfaces, impairing aesthetics.</t>
    </r>
  </si>
  <si>
    <r>
      <t>2.</t>
    </r>
    <r>
      <rPr>
        <sz val="7"/>
        <color theme="1"/>
        <rFont val="Times New Roman"/>
        <family val="1"/>
      </rPr>
      <t xml:space="preserve">      </t>
    </r>
    <r>
      <rPr>
        <sz val="11"/>
        <color rgb="FF000000"/>
        <rFont val="RTA Office Light"/>
      </rPr>
      <t>Implement anti-defacing coatings on Road Humps to facilitate easier clean-up and discourage future vandalism.</t>
    </r>
  </si>
  <si>
    <t>1. Deterioration in Road Hump:</t>
  </si>
  <si>
    <r>
      <t>a.</t>
    </r>
    <r>
      <rPr>
        <sz val="7"/>
        <color theme="1"/>
        <rFont val="Times New Roman"/>
        <family val="1"/>
      </rPr>
      <t xml:space="preserve">       </t>
    </r>
    <r>
      <rPr>
        <sz val="11"/>
        <color rgb="FF000000"/>
        <rFont val="RTA Office Light"/>
      </rPr>
      <t>Over time, materials used in Road Humps can degrade, leading to deteriorations of Road Hump coatings or finishes, compromising aesthetics and the overall structural integrity of the Road Hump.</t>
    </r>
  </si>
  <si>
    <r>
      <t>1.</t>
    </r>
    <r>
      <rPr>
        <sz val="7"/>
        <color theme="1"/>
        <rFont val="Times New Roman"/>
        <family val="1"/>
      </rPr>
      <t xml:space="preserve">        </t>
    </r>
    <r>
      <rPr>
        <sz val="11"/>
        <color rgb="FF000000"/>
        <rFont val="RTA Office Light"/>
      </rPr>
      <t>Regularly inspect Road Humps to identify early signs of deterioration.</t>
    </r>
  </si>
  <si>
    <r>
      <t>3.</t>
    </r>
    <r>
      <rPr>
        <sz val="7"/>
        <color theme="1"/>
        <rFont val="Times New Roman"/>
        <family val="1"/>
      </rPr>
      <t xml:space="preserve">      </t>
    </r>
    <r>
      <rPr>
        <sz val="11"/>
        <color rgb="FF000000"/>
        <rFont val="RTA Office Light"/>
      </rPr>
      <t>Implement protection measures to extend the service life of Road Humps.</t>
    </r>
  </si>
  <si>
    <t>RFMD Inspection and Maintenance Team, Road Hump Material Supplier and Installer and the Maintenance Contractor</t>
  </si>
  <si>
    <r>
      <t>a.</t>
    </r>
    <r>
      <rPr>
        <sz val="7"/>
        <color theme="1"/>
        <rFont val="Times New Roman"/>
        <family val="1"/>
      </rPr>
      <t xml:space="preserve">       </t>
    </r>
    <r>
      <rPr>
        <sz val="11"/>
        <color rgb="FF000000"/>
        <rFont val="RTA Office Light"/>
      </rPr>
      <t>In crowded areas, pedestrians may accidentally walk into Road Humps, leading to trips, falls and other injuries.</t>
    </r>
  </si>
  <si>
    <r>
      <t>1.</t>
    </r>
    <r>
      <rPr>
        <sz val="7"/>
        <color theme="1"/>
        <rFont val="Times New Roman"/>
        <family val="1"/>
      </rPr>
      <t xml:space="preserve">        </t>
    </r>
    <r>
      <rPr>
        <sz val="11"/>
        <color rgb="FF000000"/>
        <rFont val="RTA Office Light"/>
      </rPr>
      <t>Install warning signs to prohibit pedestrian crossing in areas where it is unsafe, ensuring pedestrian safety and preventing accidents.</t>
    </r>
  </si>
  <si>
    <r>
      <t>2.</t>
    </r>
    <r>
      <rPr>
        <sz val="7"/>
        <color theme="1"/>
        <rFont val="Times New Roman"/>
        <family val="1"/>
      </rPr>
      <t xml:space="preserve">     </t>
    </r>
    <r>
      <rPr>
        <sz val="11"/>
        <color rgb="FF000000"/>
        <rFont val="RTA Office Light"/>
      </rPr>
      <t>Regular inspection and maintenance schedules to promptly identify and repaint faded or damaged Road Humps.</t>
    </r>
  </si>
  <si>
    <r>
      <t>b.</t>
    </r>
    <r>
      <rPr>
        <sz val="7"/>
        <color theme="1"/>
        <rFont val="Times New Roman"/>
        <family val="1"/>
      </rPr>
      <t xml:space="preserve">      </t>
    </r>
    <r>
      <rPr>
        <sz val="11"/>
        <color rgb="FF000000"/>
        <rFont val="RTA Office Light"/>
      </rPr>
      <t>Poorly placed or damaged Road Humps can obstruct the path of individuals with mobility impairments, creating accessibility barriers.</t>
    </r>
  </si>
  <si>
    <r>
      <t>1.</t>
    </r>
    <r>
      <rPr>
        <sz val="7"/>
        <color theme="1"/>
        <rFont val="Times New Roman"/>
        <family val="1"/>
      </rPr>
      <t xml:space="preserve">        </t>
    </r>
    <r>
      <rPr>
        <sz val="11"/>
        <color rgb="FF000000"/>
        <rFont val="RTA Office Light"/>
      </rPr>
      <t>Ensure Road Humps are placed in locations that do not obstruct accessible pathways.</t>
    </r>
  </si>
  <si>
    <r>
      <t>2.</t>
    </r>
    <r>
      <rPr>
        <sz val="7"/>
        <color theme="1"/>
        <rFont val="Times New Roman"/>
        <family val="1"/>
      </rPr>
      <t xml:space="preserve">      </t>
    </r>
    <r>
      <rPr>
        <sz val="11"/>
        <color rgb="FF000000"/>
        <rFont val="RTA Office Light"/>
      </rPr>
      <t>Implement regular inspections to assess Road Hump integrity and address any damages promptly.</t>
    </r>
  </si>
  <si>
    <r>
      <t>a.</t>
    </r>
    <r>
      <rPr>
        <sz val="7"/>
        <color theme="1"/>
        <rFont val="Times New Roman"/>
        <family val="1"/>
      </rPr>
      <t xml:space="preserve">       </t>
    </r>
    <r>
      <rPr>
        <sz val="11"/>
        <color rgb="FF000000"/>
        <rFont val="RTA Office Light"/>
      </rPr>
      <t>Road humps installations not meeting required standards may pose collision risks to vehicles, cyclists, and pedestrians, especially in low-visibility conditions.</t>
    </r>
  </si>
  <si>
    <r>
      <t>b.</t>
    </r>
    <r>
      <rPr>
        <sz val="7"/>
        <color theme="1"/>
        <rFont val="Times New Roman"/>
        <family val="1"/>
      </rPr>
      <t xml:space="preserve">      </t>
    </r>
    <r>
      <rPr>
        <sz val="11"/>
        <color rgb="FF000000"/>
        <rFont val="RTA Office Light"/>
      </rPr>
      <t>Road humps with poor reflectivity in pedestrian zones may cause tripping hazards if not properly visible or marked.</t>
    </r>
  </si>
  <si>
    <r>
      <t>1.</t>
    </r>
    <r>
      <rPr>
        <sz val="7"/>
        <color theme="1"/>
        <rFont val="Times New Roman"/>
        <family val="1"/>
      </rPr>
      <t xml:space="preserve">        </t>
    </r>
    <r>
      <rPr>
        <sz val="11"/>
        <color rgb="FF000000"/>
        <rFont val="RTA Office Light"/>
      </rPr>
      <t>Ensure compliance with relevant design standards and requirements during the planning and installation phases of Road Hump projects.</t>
    </r>
  </si>
  <si>
    <r>
      <t>2.</t>
    </r>
    <r>
      <rPr>
        <sz val="7"/>
        <color theme="1"/>
        <rFont val="Times New Roman"/>
        <family val="1"/>
      </rPr>
      <t xml:space="preserve">      </t>
    </r>
    <r>
      <rPr>
        <sz val="11"/>
        <color rgb="FF000000"/>
        <rFont val="RTA Office Light"/>
      </rPr>
      <t xml:space="preserve">Conduct thorough site assessments to identify potential hazards and optimize Road Hump placement. </t>
    </r>
  </si>
  <si>
    <r>
      <t>a.</t>
    </r>
    <r>
      <rPr>
        <sz val="7"/>
        <color theme="1"/>
        <rFont val="Times New Roman"/>
        <family val="1"/>
      </rPr>
      <t xml:space="preserve">       </t>
    </r>
    <r>
      <rPr>
        <sz val="11"/>
        <color rgb="FF000000"/>
        <rFont val="RTA Office Light"/>
      </rPr>
      <t>Lack of routine inspections leading to undetected defects or deterioration in Road Hump components.</t>
    </r>
  </si>
  <si>
    <t>2. Establish a proactive maintenance program focused on preventive measures such as cleaning and painting, to prolong Road Hump lifespan.</t>
  </si>
  <si>
    <r>
      <t>a.</t>
    </r>
    <r>
      <rPr>
        <sz val="7"/>
        <color theme="1"/>
        <rFont val="Times New Roman"/>
        <family val="1"/>
      </rPr>
      <t xml:space="preserve">       </t>
    </r>
    <r>
      <rPr>
        <sz val="11"/>
        <color rgb="FF000000"/>
        <rFont val="RTA Office Light"/>
      </rPr>
      <t>Delays in responding to reported Road Hump damages due to ineffective communication or resource allocation.</t>
    </r>
  </si>
  <si>
    <r>
      <t>b.</t>
    </r>
    <r>
      <rPr>
        <sz val="7"/>
        <color theme="1"/>
        <rFont val="Times New Roman"/>
        <family val="1"/>
      </rPr>
      <t xml:space="preserve">      </t>
    </r>
    <r>
      <rPr>
        <sz val="11"/>
        <color rgb="FF000000"/>
        <rFont val="RTA Office Light"/>
      </rPr>
      <t>Lack of standardized procedures or protocols for assessing and prioritizing Road Hump repairs, leading to inconsistent outcomes.</t>
    </r>
  </si>
  <si>
    <r>
      <t>1.</t>
    </r>
    <r>
      <rPr>
        <sz val="7"/>
        <color theme="1"/>
        <rFont val="Times New Roman"/>
        <family val="1"/>
      </rPr>
      <t xml:space="preserve">        </t>
    </r>
    <r>
      <rPr>
        <sz val="11"/>
        <color rgb="FF000000"/>
        <rFont val="RTA Office Light"/>
      </rPr>
      <t>Implement a centralized reporting system for documenting and tracking Road Hump damage reports, streamlining communication and ensuring timely responses.</t>
    </r>
  </si>
  <si>
    <r>
      <t>a.</t>
    </r>
    <r>
      <rPr>
        <sz val="7"/>
        <color theme="1"/>
        <rFont val="Times New Roman"/>
        <family val="1"/>
      </rPr>
      <t xml:space="preserve">       </t>
    </r>
    <r>
      <rPr>
        <sz val="11"/>
        <color rgb="FF000000"/>
        <rFont val="RTA Office Light"/>
      </rPr>
      <t>Insufficient training for maintenance personnel in identifying, assessing, and repairing Road Hump defects or damage.</t>
    </r>
  </si>
  <si>
    <r>
      <t>1.</t>
    </r>
    <r>
      <rPr>
        <sz val="7"/>
        <color theme="1"/>
        <rFont val="Times New Roman"/>
        <family val="1"/>
      </rPr>
      <t xml:space="preserve">        </t>
    </r>
    <r>
      <rPr>
        <sz val="11"/>
        <color rgb="FF000000"/>
        <rFont val="RTA Office Light"/>
      </rPr>
      <t>Develop a comprehensive training program covering Road Hump inspection techniques, repair procedures, safety protocols, and equipment operation.</t>
    </r>
  </si>
  <si>
    <r>
      <t>a.</t>
    </r>
    <r>
      <rPr>
        <sz val="7"/>
        <color theme="1"/>
        <rFont val="Times New Roman"/>
        <family val="1"/>
      </rPr>
      <t xml:space="preserve">       </t>
    </r>
    <r>
      <rPr>
        <sz val="11"/>
        <color rgb="FF000000"/>
        <rFont val="RTA Office Light"/>
      </rPr>
      <t>Limited funding for Road Hump maintenance and repair activities, resulting in deferred maintenance and increased asset deterioration.</t>
    </r>
  </si>
  <si>
    <r>
      <t>b.</t>
    </r>
    <r>
      <rPr>
        <sz val="7"/>
        <color theme="1"/>
        <rFont val="Times New Roman"/>
        <family val="1"/>
      </rPr>
      <t xml:space="preserve">      </t>
    </r>
    <r>
      <rPr>
        <sz val="11"/>
        <color rgb="FF000000"/>
        <rFont val="RTA Office Light"/>
      </rPr>
      <t>Inability to invest in technological advancements or innovative solutions to improve Road Hump performance and longevity.</t>
    </r>
  </si>
  <si>
    <r>
      <t>1.</t>
    </r>
    <r>
      <rPr>
        <sz val="7"/>
        <color theme="1"/>
        <rFont val="Times New Roman"/>
        <family val="1"/>
      </rPr>
      <t xml:space="preserve">        </t>
    </r>
    <r>
      <rPr>
        <sz val="11"/>
        <color rgb="FF000000"/>
        <rFont val="RTA Office Light"/>
      </rPr>
      <t>Advocate for dedicated funding allocations for Road Hump maintenance and repair as part of the annual budgeting process, highlighting the importance of preserving critical infrastructure assets and ensuring public safety.</t>
    </r>
  </si>
  <si>
    <r>
      <t>a.</t>
    </r>
    <r>
      <rPr>
        <sz val="7"/>
        <color theme="1"/>
        <rFont val="Times New Roman"/>
        <family val="1"/>
      </rPr>
      <t xml:space="preserve">       </t>
    </r>
    <r>
      <rPr>
        <sz val="11"/>
        <color rgb="FF000000"/>
        <rFont val="RTA Office Light"/>
      </rPr>
      <t>Sandstorms cause abrasion and erosion of pedestrian crossing surfaces, causing paint deteriorations.</t>
    </r>
  </si>
  <si>
    <r>
      <t>1.</t>
    </r>
    <r>
      <rPr>
        <sz val="7"/>
        <color theme="1"/>
        <rFont val="Times New Roman"/>
        <family val="1"/>
      </rPr>
      <t xml:space="preserve">       </t>
    </r>
    <r>
      <rPr>
        <sz val="11"/>
        <color rgb="FF000000"/>
        <rFont val="RTA Office Light"/>
      </rPr>
      <t>Implement regular inspections following extreme weather events to assess pedestrian crossing integrity and address any damage promptly.</t>
    </r>
  </si>
  <si>
    <r>
      <t>3.</t>
    </r>
    <r>
      <rPr>
        <sz val="7"/>
        <color theme="1"/>
        <rFont val="Times New Roman"/>
        <family val="1"/>
      </rPr>
      <t xml:space="preserve">       </t>
    </r>
    <r>
      <rPr>
        <sz val="11"/>
        <color rgb="FF000000"/>
        <rFont val="RTA Office Light"/>
      </rPr>
      <t>Implement protection measures, such as using protective coatings, to reduce erosion and extend the service life of the pedestrian crossing.</t>
    </r>
  </si>
  <si>
    <r>
      <t>a.</t>
    </r>
    <r>
      <rPr>
        <sz val="7"/>
        <color theme="1"/>
        <rFont val="Times New Roman"/>
        <family val="1"/>
      </rPr>
      <t xml:space="preserve">       </t>
    </r>
    <r>
      <rPr>
        <sz val="11"/>
        <color rgb="FF000000"/>
        <rFont val="RTA Office Light"/>
      </rPr>
      <t xml:space="preserve">Heavy rainfall can result in flooding, which can damage pedestrian crossings, </t>
    </r>
  </si>
  <si>
    <r>
      <t>2.</t>
    </r>
    <r>
      <rPr>
        <sz val="7"/>
        <color theme="1"/>
        <rFont val="Times New Roman"/>
        <family val="1"/>
      </rPr>
      <t xml:space="preserve">       </t>
    </r>
    <r>
      <rPr>
        <sz val="11"/>
        <color rgb="FF000000"/>
        <rFont val="RTA Office Light"/>
      </rPr>
      <t>Utilize weather forecasting technology to anticipate severe weather conditions and to increased maintenance patrols.</t>
    </r>
  </si>
  <si>
    <r>
      <t>a.</t>
    </r>
    <r>
      <rPr>
        <sz val="7"/>
        <color theme="1"/>
        <rFont val="Times New Roman"/>
        <family val="1"/>
      </rPr>
      <t xml:space="preserve">       </t>
    </r>
    <r>
      <rPr>
        <sz val="11"/>
        <color rgb="FF000000"/>
        <rFont val="RTA Office Light"/>
      </rPr>
      <t>Changes in regulatory requirements and non-compliance can lead to operational restrictions.</t>
    </r>
  </si>
  <si>
    <r>
      <t>a.</t>
    </r>
    <r>
      <rPr>
        <sz val="7"/>
        <color theme="1"/>
        <rFont val="Times New Roman"/>
        <family val="1"/>
      </rPr>
      <t xml:space="preserve">       </t>
    </r>
    <r>
      <rPr>
        <sz val="11"/>
        <color rgb="FF000000"/>
        <rFont val="RTA Office Light"/>
      </rPr>
      <t>Economic downturns can significantly impact resource allocation and funding availability.</t>
    </r>
  </si>
  <si>
    <t xml:space="preserve">1. Incorporate climate resilience into asset design and maintenance strategies to improve durability and ensure adaptability to changing environmental conditions, thereby safeguarding the infrastructure of the pedestrian crossing. </t>
  </si>
  <si>
    <r>
      <t>2.</t>
    </r>
    <r>
      <rPr>
        <sz val="7"/>
        <color theme="1"/>
        <rFont val="Times New Roman"/>
        <family val="1"/>
      </rPr>
      <t xml:space="preserve">      </t>
    </r>
    <r>
      <rPr>
        <sz val="11"/>
        <color rgb="FF000000"/>
        <rFont val="RTA Office Light"/>
      </rPr>
      <t>Conduct frequent inspections to identify and address damaged pedestrian crossings promptly.</t>
    </r>
  </si>
  <si>
    <r>
      <t>c.</t>
    </r>
    <r>
      <rPr>
        <sz val="7"/>
        <color theme="1"/>
        <rFont val="Times New Roman"/>
        <family val="1"/>
      </rPr>
      <t xml:space="preserve">       </t>
    </r>
    <r>
      <rPr>
        <sz val="11"/>
        <color rgb="FF000000"/>
        <rFont val="RTA Office Light"/>
      </rPr>
      <t>Indirect effect on the maintenance budget due to extra expenditure on maintenance of pedestrian crossings.</t>
    </r>
  </si>
  <si>
    <r>
      <t>a.</t>
    </r>
    <r>
      <rPr>
        <sz val="7"/>
        <color theme="1"/>
        <rFont val="Times New Roman"/>
        <family val="1"/>
      </rPr>
      <t xml:space="preserve">       </t>
    </r>
    <r>
      <rPr>
        <sz val="11"/>
        <color rgb="FF000000"/>
        <rFont val="RTA Office Light"/>
      </rPr>
      <t>Paint damage or deteriorations on pedestrian crossings can increase the risk of accidents due to reduced visibility.</t>
    </r>
  </si>
  <si>
    <r>
      <t>b.</t>
    </r>
    <r>
      <rPr>
        <sz val="7"/>
        <color theme="1"/>
        <rFont val="Times New Roman"/>
        <family val="1"/>
      </rPr>
      <t xml:space="preserve">      </t>
    </r>
    <r>
      <rPr>
        <sz val="11"/>
        <color rgb="FF000000"/>
        <rFont val="RTA Office Light"/>
      </rPr>
      <t>Structural damage on raised pedestrian crossings creates un-even surfaces, which can cause the vehicle to tip slightly, potentially causing the driver to lose balance or lose control, leading to accidents.</t>
    </r>
  </si>
  <si>
    <r>
      <t>1.</t>
    </r>
    <r>
      <rPr>
        <sz val="7"/>
        <color theme="1"/>
        <rFont val="Times New Roman"/>
        <family val="1"/>
      </rPr>
      <t xml:space="preserve">       </t>
    </r>
    <r>
      <rPr>
        <sz val="11"/>
        <color rgb="FF000000"/>
        <rFont val="RTA Office Light"/>
      </rPr>
      <t>Regular inspection and maintenance schedules to promptly identify and repaint faded or damaged pedestrian crossings.</t>
    </r>
  </si>
  <si>
    <r>
      <t>2.</t>
    </r>
    <r>
      <rPr>
        <sz val="7"/>
        <color theme="1"/>
        <rFont val="Times New Roman"/>
        <family val="1"/>
      </rPr>
      <t xml:space="preserve">     </t>
    </r>
    <r>
      <rPr>
        <sz val="11"/>
        <color rgb="FF000000"/>
        <rFont val="RTA Office Light"/>
      </rPr>
      <t>Routine inspections to detect and repair any structural damage to pedestrian crossings, ensuring they remain safe for vehicles.</t>
    </r>
  </si>
  <si>
    <r>
      <t>3.</t>
    </r>
    <r>
      <rPr>
        <sz val="7"/>
        <color theme="1"/>
        <rFont val="Times New Roman"/>
        <family val="1"/>
      </rPr>
      <t xml:space="preserve">      </t>
    </r>
    <r>
      <rPr>
        <sz val="11"/>
        <color rgb="FF000000"/>
        <rFont val="RTA Office Light"/>
      </rPr>
      <t>Enhance visibility and awareness of pedestrian crossings through reflective markers and road signs to alert drivers to potential hazards.</t>
    </r>
  </si>
  <si>
    <r>
      <t>a.</t>
    </r>
    <r>
      <rPr>
        <sz val="7"/>
        <color theme="1"/>
        <rFont val="Times New Roman"/>
        <family val="1"/>
      </rPr>
      <t xml:space="preserve">       </t>
    </r>
    <r>
      <rPr>
        <sz val="11"/>
        <color rgb="FF000000"/>
        <rFont val="RTA Office Light"/>
      </rPr>
      <t>Deliberate tampering of pedestrian crossings by vandals or malicious actors.</t>
    </r>
  </si>
  <si>
    <r>
      <t>b.</t>
    </r>
    <r>
      <rPr>
        <sz val="7"/>
        <color theme="1"/>
        <rFont val="Times New Roman"/>
        <family val="1"/>
      </rPr>
      <t xml:space="preserve">      </t>
    </r>
    <r>
      <rPr>
        <sz val="11"/>
        <color rgb="FF000000"/>
        <rFont val="RTA Office Light"/>
      </rPr>
      <t>Forms of defacement on pedestrian crossing surfaces, impairing aesthetics.</t>
    </r>
  </si>
  <si>
    <r>
      <t>2.</t>
    </r>
    <r>
      <rPr>
        <sz val="7"/>
        <color theme="1"/>
        <rFont val="Times New Roman"/>
        <family val="1"/>
      </rPr>
      <t xml:space="preserve">      </t>
    </r>
    <r>
      <rPr>
        <sz val="11"/>
        <color rgb="FF000000"/>
        <rFont val="RTA Office Light"/>
      </rPr>
      <t>Implement anti-defacing coatings on pedestrian crossings to facilitate easier clean-up and discourage future vandalism.</t>
    </r>
  </si>
  <si>
    <r>
      <t>a.</t>
    </r>
    <r>
      <rPr>
        <sz val="7"/>
        <color theme="1"/>
        <rFont val="Times New Roman"/>
        <family val="1"/>
      </rPr>
      <t xml:space="preserve">       </t>
    </r>
    <r>
      <rPr>
        <sz val="11"/>
        <color rgb="FF000000"/>
        <rFont val="RTA Office Light"/>
      </rPr>
      <t>Over time, materials used in pedestrian crossings can degrade, leading to deteriorations of pedestrian crossing coatings or finishes, compromising aesthetics and the overall structural integrity of the pedestrian crossing.</t>
    </r>
  </si>
  <si>
    <r>
      <t>1.</t>
    </r>
    <r>
      <rPr>
        <sz val="7"/>
        <color theme="1"/>
        <rFont val="Times New Roman"/>
        <family val="1"/>
      </rPr>
      <t xml:space="preserve">        </t>
    </r>
    <r>
      <rPr>
        <sz val="11"/>
        <color rgb="FF000000"/>
        <rFont val="RTA Office Light"/>
      </rPr>
      <t>Regularly inspect pedestrian crossings to identify early signs of deterioration.</t>
    </r>
  </si>
  <si>
    <r>
      <t>3.</t>
    </r>
    <r>
      <rPr>
        <sz val="7"/>
        <color theme="1"/>
        <rFont val="Times New Roman"/>
        <family val="1"/>
      </rPr>
      <t xml:space="preserve">      </t>
    </r>
    <r>
      <rPr>
        <sz val="11"/>
        <color rgb="FF000000"/>
        <rFont val="RTA Office Light"/>
      </rPr>
      <t>Implement protection measures to extend the service life of pedestrian crossings.</t>
    </r>
  </si>
  <si>
    <t>2. Inadequate Design or Installation</t>
  </si>
  <si>
    <r>
      <t>a.</t>
    </r>
    <r>
      <rPr>
        <sz val="7"/>
        <color theme="1"/>
        <rFont val="Times New Roman"/>
        <family val="1"/>
      </rPr>
      <t xml:space="preserve">       </t>
    </r>
    <r>
      <rPr>
        <sz val="11"/>
        <color rgb="FF000000"/>
        <rFont val="RTA Office Light"/>
      </rPr>
      <t>pedestrian crossings installations not meeting required standards may pose collision risks to vehicles, cyclists, and pedestrians, especially in low-visibility conditions.</t>
    </r>
  </si>
  <si>
    <r>
      <t>b.</t>
    </r>
    <r>
      <rPr>
        <sz val="7"/>
        <color theme="1"/>
        <rFont val="Times New Roman"/>
        <family val="1"/>
      </rPr>
      <t xml:space="preserve">      </t>
    </r>
    <r>
      <rPr>
        <sz val="11"/>
        <color rgb="FF000000"/>
        <rFont val="RTA Office Light"/>
      </rPr>
      <t>pedestrian crossings with poor reflectivity in pedestrian zones may cause tripping hazards if not properly visible or marked.</t>
    </r>
  </si>
  <si>
    <r>
      <t>1.</t>
    </r>
    <r>
      <rPr>
        <sz val="7"/>
        <color theme="1"/>
        <rFont val="Times New Roman"/>
        <family val="1"/>
      </rPr>
      <t xml:space="preserve">        </t>
    </r>
    <r>
      <rPr>
        <sz val="11"/>
        <color rgb="FF000000"/>
        <rFont val="RTA Office Light"/>
      </rPr>
      <t>Ensure compliance with relevant design standards and requirements during the planning and installation phases of pedestrian crossing projects.</t>
    </r>
  </si>
  <si>
    <r>
      <t>2.</t>
    </r>
    <r>
      <rPr>
        <sz val="7"/>
        <color theme="1"/>
        <rFont val="Times New Roman"/>
        <family val="1"/>
      </rPr>
      <t xml:space="preserve">      </t>
    </r>
    <r>
      <rPr>
        <sz val="11"/>
        <color rgb="FF000000"/>
        <rFont val="RTA Office Light"/>
      </rPr>
      <t xml:space="preserve">Conduct thorough site assessments to identify potential hazards and optimize pedestrian crossing placement. </t>
    </r>
  </si>
  <si>
    <r>
      <t>a.</t>
    </r>
    <r>
      <rPr>
        <sz val="7"/>
        <color theme="1"/>
        <rFont val="Times New Roman"/>
        <family val="1"/>
      </rPr>
      <t xml:space="preserve">       </t>
    </r>
    <r>
      <rPr>
        <sz val="11"/>
        <color rgb="FF000000"/>
        <rFont val="RTA Office Light"/>
      </rPr>
      <t>Lack of routine inspections leading to undetected defects or deterioration in pedestrian crossing components.</t>
    </r>
  </si>
  <si>
    <t>2. Establish a proactive maintenance program focused on preventive measures such as cleaning and painting, to prolong pedestrian crossing lifespan.</t>
  </si>
  <si>
    <r>
      <t>a.</t>
    </r>
    <r>
      <rPr>
        <sz val="7"/>
        <color theme="1"/>
        <rFont val="Times New Roman"/>
        <family val="1"/>
      </rPr>
      <t xml:space="preserve">       </t>
    </r>
    <r>
      <rPr>
        <sz val="11"/>
        <color rgb="FF000000"/>
        <rFont val="RTA Office Light"/>
      </rPr>
      <t>Delays in responding to reported pedestrian crossing damages due to ineffective communication or resource allocation.</t>
    </r>
  </si>
  <si>
    <r>
      <t>b.</t>
    </r>
    <r>
      <rPr>
        <sz val="7"/>
        <color theme="1"/>
        <rFont val="Times New Roman"/>
        <family val="1"/>
      </rPr>
      <t xml:space="preserve">      </t>
    </r>
    <r>
      <rPr>
        <sz val="11"/>
        <color rgb="FF000000"/>
        <rFont val="RTA Office Light"/>
      </rPr>
      <t>Lack of standardized procedures or protocols for assessing and prioritizing pedestrian crossing repairs, leading to inconsistent outcomes.</t>
    </r>
  </si>
  <si>
    <r>
      <t>1.</t>
    </r>
    <r>
      <rPr>
        <sz val="7"/>
        <color theme="1"/>
        <rFont val="Times New Roman"/>
        <family val="1"/>
      </rPr>
      <t xml:space="preserve">        </t>
    </r>
    <r>
      <rPr>
        <sz val="11"/>
        <color rgb="FF000000"/>
        <rFont val="RTA Office Light"/>
      </rPr>
      <t>Implement a centralized reporting system for documenting and tracking pedestrian crossing damage reports, streamlining communication and ensuring timely responses.</t>
    </r>
  </si>
  <si>
    <r>
      <t>a.</t>
    </r>
    <r>
      <rPr>
        <sz val="7"/>
        <color theme="1"/>
        <rFont val="Times New Roman"/>
        <family val="1"/>
      </rPr>
      <t xml:space="preserve">       </t>
    </r>
    <r>
      <rPr>
        <sz val="11"/>
        <color rgb="FF000000"/>
        <rFont val="RTA Office Light"/>
      </rPr>
      <t>Insufficient training for maintenance personnel in identifying, assessing, and repairing pedestrian crossing defects or damage.</t>
    </r>
  </si>
  <si>
    <r>
      <t>1.</t>
    </r>
    <r>
      <rPr>
        <sz val="7"/>
        <color theme="1"/>
        <rFont val="Times New Roman"/>
        <family val="1"/>
      </rPr>
      <t xml:space="preserve">        </t>
    </r>
    <r>
      <rPr>
        <sz val="11"/>
        <color rgb="FF000000"/>
        <rFont val="RTA Office Light"/>
      </rPr>
      <t>Develop a comprehensive training program covering pedestrian crossing inspection techniques, repair procedures, safety protocols, and equipment operation.</t>
    </r>
  </si>
  <si>
    <r>
      <t>a.</t>
    </r>
    <r>
      <rPr>
        <sz val="7"/>
        <color theme="1"/>
        <rFont val="Times New Roman"/>
        <family val="1"/>
      </rPr>
      <t xml:space="preserve">       </t>
    </r>
    <r>
      <rPr>
        <sz val="11"/>
        <color rgb="FF000000"/>
        <rFont val="RTA Office Light"/>
      </rPr>
      <t>Limited funding for pedestrian crossing maintenance and repair activities, resulting in deferred maintenance and increased asset deterioration.</t>
    </r>
  </si>
  <si>
    <r>
      <t>b.</t>
    </r>
    <r>
      <rPr>
        <sz val="7"/>
        <color theme="1"/>
        <rFont val="Times New Roman"/>
        <family val="1"/>
      </rPr>
      <t xml:space="preserve">      </t>
    </r>
    <r>
      <rPr>
        <sz val="11"/>
        <color rgb="FF000000"/>
        <rFont val="RTA Office Light"/>
      </rPr>
      <t>Inability to invest in technological advancements or innovative solutions to improve pedestrian crossing performance and longevity.</t>
    </r>
  </si>
  <si>
    <r>
      <t>1.</t>
    </r>
    <r>
      <rPr>
        <sz val="7"/>
        <color theme="1"/>
        <rFont val="Times New Roman"/>
        <family val="1"/>
      </rPr>
      <t xml:space="preserve">        </t>
    </r>
    <r>
      <rPr>
        <sz val="11"/>
        <color rgb="FF000000"/>
        <rFont val="RTA Office Light"/>
      </rPr>
      <t>Advocate for dedicated funding allocations for pedestrian crossing maintenance and repair as part of the annual budgeting process, highlighting the importance of preserving critical infrastructure assets and ensuring public safety.</t>
    </r>
  </si>
  <si>
    <r>
      <t>A.</t>
    </r>
    <r>
      <rPr>
        <b/>
        <sz val="7"/>
        <color theme="1"/>
        <rFont val="Times New Roman"/>
        <family val="1"/>
      </rPr>
      <t xml:space="preserve">  </t>
    </r>
    <r>
      <rPr>
        <b/>
        <sz val="11"/>
        <color rgb="FF000000"/>
        <rFont val="RTA Office Light"/>
      </rPr>
      <t>Natural Events and Hazards</t>
    </r>
  </si>
  <si>
    <r>
      <t>a.</t>
    </r>
    <r>
      <rPr>
        <sz val="7"/>
        <color theme="1"/>
        <rFont val="Times New Roman"/>
        <family val="1"/>
      </rPr>
      <t xml:space="preserve">       </t>
    </r>
    <r>
      <rPr>
        <sz val="11"/>
        <color rgb="FF000000"/>
        <rFont val="RTA Office Light"/>
      </rPr>
      <t>Sand entering through openings can cause blockages, making it difficult to inspect for maintenance.</t>
    </r>
  </si>
  <si>
    <r>
      <t>b.</t>
    </r>
    <r>
      <rPr>
        <sz val="7"/>
        <color theme="1"/>
        <rFont val="Times New Roman"/>
        <family val="1"/>
      </rPr>
      <t xml:space="preserve">      </t>
    </r>
    <r>
      <rPr>
        <sz val="11"/>
        <color rgb="FF000000"/>
        <rFont val="RTA Office Light"/>
      </rPr>
      <t xml:space="preserve">Obstruction of visibility, as the sand accumulated around the edges of the Manhole can make it harder to access and see, posing a hazard to vehicles and pedestrians. </t>
    </r>
  </si>
  <si>
    <r>
      <t>1.</t>
    </r>
    <r>
      <rPr>
        <sz val="7"/>
        <color theme="1"/>
        <rFont val="Times New Roman"/>
        <family val="1"/>
      </rPr>
      <t xml:space="preserve">       </t>
    </r>
    <r>
      <rPr>
        <sz val="11"/>
        <color rgb="FF000000"/>
        <rFont val="RTA Office Light"/>
      </rPr>
      <t>Regular Inspection and Maintenance to assess damage done to Manhole and remove the sand built up.</t>
    </r>
  </si>
  <si>
    <r>
      <t>2.</t>
    </r>
    <r>
      <rPr>
        <sz val="7"/>
        <color theme="1"/>
        <rFont val="Times New Roman"/>
        <family val="1"/>
      </rPr>
      <t xml:space="preserve">       </t>
    </r>
    <r>
      <rPr>
        <sz val="11"/>
        <color rgb="FF000000"/>
        <rFont val="RTA Office Light"/>
      </rPr>
      <t>Design an enhanced manhole cover design, with tighter seals to prevent sand ingress.</t>
    </r>
  </si>
  <si>
    <r>
      <t>3.</t>
    </r>
    <r>
      <rPr>
        <sz val="7"/>
        <color theme="1"/>
        <rFont val="Times New Roman"/>
        <family val="1"/>
      </rPr>
      <t xml:space="preserve">       </t>
    </r>
    <r>
      <rPr>
        <sz val="11"/>
        <color rgb="FF000000"/>
        <rFont val="RTA Office Light"/>
      </rPr>
      <t>Add protective barriers around manholes, as sandstorms are being alerted, to reduce the sand entering the Manhole.</t>
    </r>
  </si>
  <si>
    <r>
      <t>a.</t>
    </r>
    <r>
      <rPr>
        <sz val="7"/>
        <color theme="1"/>
        <rFont val="Times New Roman"/>
        <family val="1"/>
      </rPr>
      <t xml:space="preserve">       </t>
    </r>
    <r>
      <rPr>
        <sz val="11"/>
        <color rgb="FF000000"/>
        <rFont val="RTA Office Light"/>
      </rPr>
      <t>Heavy rainfall can result in flooding, which can damage the Manhole, causing erosion, deterioration and compromising safety, resulting in structural damage.</t>
    </r>
  </si>
  <si>
    <r>
      <t>b.</t>
    </r>
    <r>
      <rPr>
        <sz val="7"/>
        <color theme="1"/>
        <rFont val="Times New Roman"/>
        <family val="1"/>
      </rPr>
      <t xml:space="preserve">      </t>
    </r>
    <r>
      <rPr>
        <sz val="11"/>
        <color rgb="FF000000"/>
        <rFont val="RTA Office Light"/>
      </rPr>
      <t>Floodwaters carry debris, which could carry into the Manhole, leading to blockages.</t>
    </r>
  </si>
  <si>
    <r>
      <t>1.</t>
    </r>
    <r>
      <rPr>
        <sz val="7"/>
        <color theme="1"/>
        <rFont val="Times New Roman"/>
        <family val="1"/>
      </rPr>
      <t xml:space="preserve">        </t>
    </r>
    <r>
      <rPr>
        <sz val="11"/>
        <color rgb="FF000000"/>
        <rFont val="RTA Office Light"/>
      </rPr>
      <t>Regular Inspection and Maintenance after flooding events to assess damage done to Manholes, to identify vulnerabilities and remove any debris taken with the water.</t>
    </r>
  </si>
  <si>
    <r>
      <t>2.</t>
    </r>
    <r>
      <rPr>
        <sz val="7"/>
        <color theme="1"/>
        <rFont val="Times New Roman"/>
        <family val="1"/>
      </rPr>
      <t xml:space="preserve">      </t>
    </r>
    <r>
      <rPr>
        <sz val="11"/>
        <color rgb="FF000000"/>
        <rFont val="RTA Office Light"/>
      </rPr>
      <t>Add waterproof seals to Manhole covers to prevent water entering the Manhole.</t>
    </r>
  </si>
  <si>
    <r>
      <t>3.</t>
    </r>
    <r>
      <rPr>
        <sz val="7"/>
        <color theme="1"/>
        <rFont val="Times New Roman"/>
        <family val="1"/>
      </rPr>
      <t xml:space="preserve">      </t>
    </r>
    <r>
      <rPr>
        <sz val="11"/>
        <color rgb="FF000000"/>
        <rFont val="RTA Office Light"/>
      </rPr>
      <t>Reinforce the structural integrity of manholes and the surrounding areas to withstand the pressure and force of floodwaters.</t>
    </r>
  </si>
  <si>
    <r>
      <t>b.</t>
    </r>
    <r>
      <rPr>
        <sz val="7"/>
        <color rgb="FF000000"/>
        <rFont val="Times New Roman"/>
        <family val="1"/>
      </rPr>
      <t xml:space="preserve">    </t>
    </r>
    <r>
      <rPr>
        <sz val="11"/>
        <color rgb="FF000000"/>
        <rFont val="RTA Office Light"/>
      </rPr>
      <t>Thermal stress, as the temperature difference between day and night-time can cause additional stress.</t>
    </r>
  </si>
  <si>
    <r>
      <t>1.</t>
    </r>
    <r>
      <rPr>
        <sz val="7"/>
        <color rgb="FF000000"/>
        <rFont val="Times New Roman"/>
        <family val="1"/>
      </rPr>
      <t xml:space="preserve">          </t>
    </r>
    <r>
      <rPr>
        <sz val="11"/>
        <color rgb="FF000000"/>
        <rFont val="RTA Office Light"/>
      </rPr>
      <t>Regular Inspection and Maintenance after heating events to assess damage done to Footpath.</t>
    </r>
  </si>
  <si>
    <r>
      <t>2.</t>
    </r>
    <r>
      <rPr>
        <sz val="7"/>
        <color rgb="FF000000"/>
        <rFont val="Times New Roman"/>
        <family val="1"/>
      </rPr>
      <t xml:space="preserve">        </t>
    </r>
    <r>
      <rPr>
        <sz val="11"/>
        <color rgb="FF000000"/>
        <rFont val="RTA Office Light"/>
      </rPr>
      <t>Use heat resistant materials to prevent degradation and withstand high heat temperatures.</t>
    </r>
  </si>
  <si>
    <r>
      <t>1.</t>
    </r>
    <r>
      <rPr>
        <sz val="7"/>
        <color rgb="FF000000"/>
        <rFont val="Times New Roman"/>
        <family val="1"/>
      </rPr>
      <t xml:space="preserve">        </t>
    </r>
    <r>
      <rPr>
        <sz val="11"/>
        <color rgb="FF000000"/>
        <rFont val="RTA Office Light"/>
      </rPr>
      <t>Regularly review and update compliance protocols to ensure they remain current with industry standards and regulatory requirements.</t>
    </r>
  </si>
  <si>
    <t>Actively engage with policy makers to stay informed.</t>
  </si>
  <si>
    <r>
      <t>2.</t>
    </r>
    <r>
      <rPr>
        <sz val="7"/>
        <color rgb="FF000000"/>
        <rFont val="Times New Roman"/>
        <family val="1"/>
      </rPr>
      <t xml:space="preserve">      </t>
    </r>
    <r>
      <rPr>
        <sz val="11"/>
        <color rgb="FF000000"/>
        <rFont val="RTA Office Light"/>
      </rPr>
      <t>Diversity funding sources and maintain a contingency reserve to mitigate financial risk and handle unexpected costs.</t>
    </r>
  </si>
  <si>
    <t>Environmental and Climate Change can damage the Manhole over time, causing erosion and deterioration.</t>
  </si>
  <si>
    <t xml:space="preserve">1. Incorporate climate resilience into asset design and maintenance strategies to improve durability and ensure adaptability to changing environmental conditions, thereby safeguarding the infrastructure of the Manhole. </t>
  </si>
  <si>
    <r>
      <t>3.</t>
    </r>
    <r>
      <rPr>
        <sz val="7"/>
        <color theme="1"/>
        <rFont val="Times New Roman"/>
        <family val="1"/>
      </rPr>
      <t xml:space="preserve">      </t>
    </r>
    <r>
      <rPr>
        <sz val="11"/>
        <color rgb="FF000000"/>
        <rFont val="RTA Office Light"/>
      </rPr>
      <t>Conduct frequent inspections to identify and address damaged Manhole promptly.</t>
    </r>
  </si>
  <si>
    <r>
      <t>c.</t>
    </r>
    <r>
      <rPr>
        <sz val="7"/>
        <color theme="1"/>
        <rFont val="Times New Roman"/>
        <family val="1"/>
      </rPr>
      <t xml:space="preserve">       </t>
    </r>
    <r>
      <rPr>
        <sz val="11"/>
        <color rgb="FF000000"/>
        <rFont val="RTA Office Light"/>
      </rPr>
      <t>Indirect effect on the maintenance budget due to extra expenditure on maintenance of Manhole.</t>
    </r>
  </si>
  <si>
    <r>
      <t>1.</t>
    </r>
    <r>
      <rPr>
        <sz val="7"/>
        <color theme="1"/>
        <rFont val="Times New Roman"/>
        <family val="1"/>
      </rPr>
      <t xml:space="preserve">          </t>
    </r>
    <r>
      <rPr>
        <sz val="11"/>
        <color rgb="FF000000"/>
        <rFont val="RTA Office Light"/>
      </rPr>
      <t xml:space="preserve"> Imposing stringent specifications for supply and installation.</t>
    </r>
  </si>
  <si>
    <r>
      <t>2.</t>
    </r>
    <r>
      <rPr>
        <sz val="7"/>
        <color theme="1"/>
        <rFont val="Times New Roman"/>
        <family val="1"/>
      </rPr>
      <t xml:space="preserve">        </t>
    </r>
    <r>
      <rPr>
        <sz val="11"/>
        <color rgb="FF000000"/>
        <rFont val="RTA Office Light"/>
      </rPr>
      <t>Setting up an adequate warranty period in the material supply and installation contract.</t>
    </r>
  </si>
  <si>
    <t>2. Introduction of performance-based contracting.</t>
  </si>
  <si>
    <t>5. Vandalism or intentional damage:</t>
  </si>
  <si>
    <r>
      <t>a.</t>
    </r>
    <r>
      <rPr>
        <sz val="7"/>
        <color theme="1"/>
        <rFont val="Times New Roman"/>
        <family val="1"/>
      </rPr>
      <t xml:space="preserve">       </t>
    </r>
    <r>
      <rPr>
        <sz val="11"/>
        <color rgb="FF000000"/>
        <rFont val="RTA Office Light"/>
      </rPr>
      <t>Deliberate tampering with Manhole by vandals or malicious actors.</t>
    </r>
  </si>
  <si>
    <r>
      <t>b.</t>
    </r>
    <r>
      <rPr>
        <sz val="7"/>
        <color theme="1"/>
        <rFont val="Times New Roman"/>
        <family val="1"/>
      </rPr>
      <t xml:space="preserve">      </t>
    </r>
    <r>
      <rPr>
        <sz val="11"/>
        <color rgb="FF000000"/>
        <rFont val="RTA Office Light"/>
      </rPr>
      <t>Forms of defacement on Manhole surfaces, impairing visibility and aesthetics.</t>
    </r>
  </si>
  <si>
    <r>
      <t>2.</t>
    </r>
    <r>
      <rPr>
        <sz val="7"/>
        <color theme="1"/>
        <rFont val="Times New Roman"/>
        <family val="1"/>
      </rPr>
      <t xml:space="preserve">      </t>
    </r>
    <r>
      <rPr>
        <sz val="11"/>
        <color rgb="FF000000"/>
        <rFont val="RTA Office Light"/>
      </rPr>
      <t>Implement anti-defacing coatings on Manholes to facilitate easier clean-up and discourage future vandalism.</t>
    </r>
  </si>
  <si>
    <t>1. Corrosion and Deterioration:</t>
  </si>
  <si>
    <r>
      <t>a.</t>
    </r>
    <r>
      <rPr>
        <sz val="7"/>
        <color theme="1"/>
        <rFont val="Times New Roman"/>
        <family val="1"/>
      </rPr>
      <t xml:space="preserve">       </t>
    </r>
    <r>
      <rPr>
        <sz val="11"/>
        <color rgb="FF000000"/>
        <rFont val="RTA Office Light"/>
      </rPr>
      <t>Corrosion of Manhole components due to exposure to salt spray from coastal areas or chemical runoff from nearby roadways.</t>
    </r>
  </si>
  <si>
    <r>
      <t>b.</t>
    </r>
    <r>
      <rPr>
        <sz val="7"/>
        <color theme="1"/>
        <rFont val="Times New Roman"/>
        <family val="1"/>
      </rPr>
      <t xml:space="preserve">      </t>
    </r>
    <r>
      <rPr>
        <sz val="11"/>
        <color rgb="FF000000"/>
        <rFont val="RTA Office Light"/>
      </rPr>
      <t>Deterioration of Manhole coatings or finishes, reducing resistance to corrosion and compromising aesthetics.</t>
    </r>
  </si>
  <si>
    <r>
      <t>1.</t>
    </r>
    <r>
      <rPr>
        <sz val="7"/>
        <color theme="1"/>
        <rFont val="Times New Roman"/>
        <family val="1"/>
      </rPr>
      <t xml:space="preserve">        </t>
    </r>
    <r>
      <rPr>
        <sz val="11"/>
        <color rgb="FF000000"/>
        <rFont val="RTA Office Light"/>
      </rPr>
      <t>Regularly inspect Manholes for signs of corrosion or deterioration, especially in areas prone to water accumulation.</t>
    </r>
  </si>
  <si>
    <r>
      <t>2.</t>
    </r>
    <r>
      <rPr>
        <sz val="7"/>
        <color theme="1"/>
        <rFont val="Times New Roman"/>
        <family val="1"/>
      </rPr>
      <t xml:space="preserve">      </t>
    </r>
    <r>
      <rPr>
        <sz val="11"/>
        <color rgb="FF000000"/>
        <rFont val="RTA Office Light"/>
      </rPr>
      <t>Implement corrosion protection measures such as galvanization, epoxy coatings, or sacrificial anodes to extend the service life of Manhole components.</t>
    </r>
  </si>
  <si>
    <t>RFMD Inspection and Maintenance Team, Manhole Material Supplier and Installer and the Maintenance Contractor</t>
  </si>
  <si>
    <t>2. Pedestrian Safety Hazards</t>
  </si>
  <si>
    <t>In crowded areas, pedestrians may inadvertently walk into the sides Manholes, due to an uneven level above ground, leading to trips, falls, or other injuries.</t>
  </si>
  <si>
    <r>
      <t>1.</t>
    </r>
    <r>
      <rPr>
        <sz val="7"/>
        <color theme="1"/>
        <rFont val="Times New Roman"/>
        <family val="1"/>
      </rPr>
      <t xml:space="preserve">        </t>
    </r>
    <r>
      <rPr>
        <sz val="11"/>
        <color rgb="FF000000"/>
        <rFont val="RTA Office Light"/>
      </rPr>
      <t xml:space="preserve">Use Manholes levelled with the ground to minimize injury risk. – </t>
    </r>
  </si>
  <si>
    <r>
      <t>2.</t>
    </r>
    <r>
      <rPr>
        <sz val="7"/>
        <color theme="1"/>
        <rFont val="Times New Roman"/>
        <family val="1"/>
      </rPr>
      <t xml:space="preserve">      </t>
    </r>
    <r>
      <rPr>
        <sz val="11"/>
        <color rgb="FF000000"/>
        <rFont val="RTA Office Light"/>
      </rPr>
      <t>Use high-visibility paint or reflective materials around the perimeter of the manhole cover to alert pedestrians and cyclists to the potential hazard.</t>
    </r>
  </si>
  <si>
    <t>3. Flooding and Water Ingres</t>
  </si>
  <si>
    <t>Manholes can flood during heavy rains or if located in flood-prone areas, leading to unsafe conditions and potential damage to utilities.</t>
  </si>
  <si>
    <r>
      <t>1.</t>
    </r>
    <r>
      <rPr>
        <sz val="7"/>
        <color theme="1"/>
        <rFont val="Times New Roman"/>
        <family val="1"/>
      </rPr>
      <t xml:space="preserve">        </t>
    </r>
    <r>
      <rPr>
        <sz val="11"/>
        <color rgb="FF000000"/>
        <rFont val="RTA Office Light"/>
      </rPr>
      <t>Use sealed or flood-resistant manhole covers in flood-prone areas.</t>
    </r>
  </si>
  <si>
    <r>
      <t>2.</t>
    </r>
    <r>
      <rPr>
        <sz val="7"/>
        <color theme="1"/>
        <rFont val="Times New Roman"/>
        <family val="1"/>
      </rPr>
      <t xml:space="preserve">      </t>
    </r>
    <r>
      <rPr>
        <sz val="11"/>
        <color rgb="FF000000"/>
        <rFont val="RTA Office Light"/>
      </rPr>
      <t>Ensure proper drainage systems are in place to divert water away from manholes.</t>
    </r>
  </si>
  <si>
    <t>4. Structural Integrity Issue</t>
  </si>
  <si>
    <t>Manholes can suffer from structural issues due to aging, corrosion, or damage, leading to potential collapses or failures.</t>
  </si>
  <si>
    <r>
      <t>1.</t>
    </r>
    <r>
      <rPr>
        <sz val="7"/>
        <color theme="1"/>
        <rFont val="Times New Roman"/>
        <family val="1"/>
      </rPr>
      <t xml:space="preserve">        </t>
    </r>
    <r>
      <rPr>
        <sz val="11"/>
        <color rgb="FF000000"/>
        <rFont val="RTA Office Light"/>
      </rPr>
      <t>Use materials and construction techniques that enhance the durability and longevity of manholes.</t>
    </r>
  </si>
  <si>
    <t>2. Implement a proactive maintenance and replacement program to address aging infrastructure before it fails.</t>
  </si>
  <si>
    <r>
      <t>a.</t>
    </r>
    <r>
      <rPr>
        <sz val="7"/>
        <color theme="1"/>
        <rFont val="Times New Roman"/>
        <family val="1"/>
      </rPr>
      <t xml:space="preserve">       </t>
    </r>
    <r>
      <rPr>
        <sz val="11"/>
        <color rgb="FF000000"/>
        <rFont val="RTA Office Light"/>
      </rPr>
      <t>Lack of routine inspections leading to undetected defects or deterioration in Manhole components.</t>
    </r>
  </si>
  <si>
    <t>2. Establish a proactive maintenance program focused on preventive measures such as cleaning and painting, to mitigate corrosion and prolong Manhole lifespan.</t>
  </si>
  <si>
    <r>
      <t>a.</t>
    </r>
    <r>
      <rPr>
        <sz val="7"/>
        <color theme="1"/>
        <rFont val="Times New Roman"/>
        <family val="1"/>
      </rPr>
      <t xml:space="preserve">       </t>
    </r>
    <r>
      <rPr>
        <sz val="11"/>
        <color rgb="FF000000"/>
        <rFont val="RTA Office Light"/>
      </rPr>
      <t>Delays in responding to reported Manhole damages due to ineffective communication or resource allocation.</t>
    </r>
  </si>
  <si>
    <r>
      <t>b.</t>
    </r>
    <r>
      <rPr>
        <sz val="7"/>
        <color theme="1"/>
        <rFont val="Times New Roman"/>
        <family val="1"/>
      </rPr>
      <t xml:space="preserve">      </t>
    </r>
    <r>
      <rPr>
        <sz val="11"/>
        <color rgb="FF000000"/>
        <rFont val="RTA Office Light"/>
      </rPr>
      <t>Lack of standardized procedures or protocols for assessing and prioritizing Manhole repairs, leading to inconsistent outcomes.</t>
    </r>
  </si>
  <si>
    <r>
      <t>1.</t>
    </r>
    <r>
      <rPr>
        <sz val="7"/>
        <color theme="1"/>
        <rFont val="Times New Roman"/>
        <family val="1"/>
      </rPr>
      <t xml:space="preserve">        </t>
    </r>
    <r>
      <rPr>
        <sz val="11"/>
        <color rgb="FF000000"/>
        <rFont val="RTA Office Light"/>
      </rPr>
      <t>Implement a centralized reporting system for documenting and tracking Manhole damage reports, streamlining communication and ensuring timely responses.</t>
    </r>
  </si>
  <si>
    <r>
      <t>a.</t>
    </r>
    <r>
      <rPr>
        <sz val="7"/>
        <color theme="1"/>
        <rFont val="Times New Roman"/>
        <family val="1"/>
      </rPr>
      <t xml:space="preserve">       </t>
    </r>
    <r>
      <rPr>
        <sz val="11"/>
        <color rgb="FF000000"/>
        <rFont val="RTA Office Light"/>
      </rPr>
      <t>Insufficient training for maintenance personnel in identifying, assessing, and repairing Manhole defects or damage.</t>
    </r>
  </si>
  <si>
    <r>
      <t>1.</t>
    </r>
    <r>
      <rPr>
        <sz val="7"/>
        <color theme="1"/>
        <rFont val="Times New Roman"/>
        <family val="1"/>
      </rPr>
      <t xml:space="preserve">        </t>
    </r>
    <r>
      <rPr>
        <sz val="11"/>
        <color rgb="FF000000"/>
        <rFont val="RTA Office Light"/>
      </rPr>
      <t>Develop a comprehensive training program covering Manhole inspection techniques, repair procedures, safety protocols, and equipment operation.</t>
    </r>
  </si>
  <si>
    <r>
      <t>a.</t>
    </r>
    <r>
      <rPr>
        <sz val="7"/>
        <color theme="1"/>
        <rFont val="Times New Roman"/>
        <family val="1"/>
      </rPr>
      <t xml:space="preserve">       </t>
    </r>
    <r>
      <rPr>
        <sz val="11"/>
        <color rgb="FF000000"/>
        <rFont val="RTA Office Light"/>
      </rPr>
      <t>Limited funding for Manhole maintenance and repair activities, resulting in deferred maintenance and increased asset deterioration.</t>
    </r>
  </si>
  <si>
    <r>
      <t>b.</t>
    </r>
    <r>
      <rPr>
        <sz val="7"/>
        <color theme="1"/>
        <rFont val="Times New Roman"/>
        <family val="1"/>
      </rPr>
      <t xml:space="preserve">      </t>
    </r>
    <r>
      <rPr>
        <sz val="11"/>
        <color rgb="FF000000"/>
        <rFont val="RTA Office Light"/>
      </rPr>
      <t>Inability to invest in technological advancements or innovative solutions to improve Manhole performance and longevity.</t>
    </r>
  </si>
  <si>
    <r>
      <t>1.</t>
    </r>
    <r>
      <rPr>
        <sz val="7"/>
        <color theme="1"/>
        <rFont val="Times New Roman"/>
        <family val="1"/>
      </rPr>
      <t xml:space="preserve">        </t>
    </r>
    <r>
      <rPr>
        <sz val="11"/>
        <color rgb="FF000000"/>
        <rFont val="RTA Office Light"/>
      </rPr>
      <t>Advocate for dedicated funding allocations for Manhole maintenance and repair as part of the annual budgeting process, highlighting the importance of preserving critical infrastructure assets and ensuring public safety.</t>
    </r>
  </si>
  <si>
    <r>
      <t>E.</t>
    </r>
    <r>
      <rPr>
        <b/>
        <sz val="7"/>
        <color rgb="FF000000"/>
        <rFont val="Times New Roman"/>
        <family val="1"/>
      </rPr>
      <t xml:space="preserve">  </t>
    </r>
    <r>
      <rPr>
        <b/>
        <sz val="11"/>
        <color rgb="FF000000"/>
        <rFont val="RTA Office Light"/>
      </rPr>
      <t>Operational Risk Events</t>
    </r>
  </si>
  <si>
    <r>
      <t>5.</t>
    </r>
    <r>
      <rPr>
        <sz val="7"/>
        <color rgb="FF000000"/>
        <rFont val="Times New Roman"/>
        <family val="1"/>
      </rPr>
      <t xml:space="preserve">      </t>
    </r>
    <r>
      <rPr>
        <sz val="11"/>
        <color rgb="FF000000"/>
        <rFont val="RTA Office Light"/>
      </rPr>
      <t xml:space="preserve">Inadequate Planning and Scheduling of Maintenance Activities </t>
    </r>
  </si>
  <si>
    <r>
      <t>1.</t>
    </r>
    <r>
      <rPr>
        <b/>
        <sz val="7"/>
        <color rgb="FF000000"/>
        <rFont val="Times New Roman"/>
        <family val="1"/>
      </rPr>
      <t xml:space="preserve">     </t>
    </r>
    <r>
      <rPr>
        <b/>
        <sz val="11"/>
        <color rgb="FF000000"/>
        <rFont val="RTA Office Light"/>
      </rPr>
      <t>Sandstorms</t>
    </r>
  </si>
  <si>
    <r>
      <t>a.</t>
    </r>
    <r>
      <rPr>
        <sz val="7"/>
        <color theme="1"/>
        <rFont val="Times New Roman"/>
        <family val="1"/>
      </rPr>
      <t xml:space="preserve">    </t>
    </r>
    <r>
      <rPr>
        <sz val="11"/>
        <color rgb="FF000000"/>
        <rFont val="RTA Office Light"/>
      </rPr>
      <t>Reduced capacity of entrance, as sand accumulation can take up space of the gully.</t>
    </r>
  </si>
  <si>
    <r>
      <t>1.</t>
    </r>
    <r>
      <rPr>
        <sz val="7"/>
        <color rgb="FF000000"/>
        <rFont val="Times New Roman"/>
        <family val="1"/>
      </rPr>
      <t xml:space="preserve">        </t>
    </r>
    <r>
      <rPr>
        <sz val="11"/>
        <color rgb="FF000000"/>
        <rFont val="RTA Office Light"/>
      </rPr>
      <t>Regular Inspection and Maintenance after sandstorm events to assess damage done to Gully.</t>
    </r>
  </si>
  <si>
    <r>
      <t>2.</t>
    </r>
    <r>
      <rPr>
        <b/>
        <sz val="7"/>
        <color rgb="FF000000"/>
        <rFont val="Times New Roman"/>
        <family val="1"/>
      </rPr>
      <t xml:space="preserve">    </t>
    </r>
    <r>
      <rPr>
        <b/>
        <sz val="11"/>
        <color rgb="FF000000"/>
        <rFont val="RTA Office Light"/>
      </rPr>
      <t>Flooding</t>
    </r>
  </si>
  <si>
    <r>
      <t>a.</t>
    </r>
    <r>
      <rPr>
        <sz val="7"/>
        <color theme="1"/>
        <rFont val="Times New Roman"/>
        <family val="1"/>
      </rPr>
      <t xml:space="preserve">    </t>
    </r>
    <r>
      <rPr>
        <sz val="11"/>
        <color rgb="FF000000"/>
        <rFont val="RTA Office Light"/>
      </rPr>
      <t>Entrance can get blocked if floodwaters that carry debris accumulate</t>
    </r>
  </si>
  <si>
    <r>
      <t>b.</t>
    </r>
    <r>
      <rPr>
        <sz val="7"/>
        <color theme="1"/>
        <rFont val="Times New Roman"/>
        <family val="1"/>
      </rPr>
      <t xml:space="preserve">   </t>
    </r>
    <r>
      <rPr>
        <sz val="11"/>
        <color rgb="FF000000"/>
        <rFont val="RTA Office Light"/>
      </rPr>
      <t>The sheer weight of water during a flood can put additional stress on the gully structure, potentially causing cracks or failure.</t>
    </r>
  </si>
  <si>
    <t>1. Enhanced drainage system.</t>
  </si>
  <si>
    <t>2. Regular Inspection and Maintenance after flooding events to assess damage done to Gully and remove any debris taken with the water.</t>
  </si>
  <si>
    <t>3. Add additional gully assets to share the load for water intake, protecting the stress of an individual gully.</t>
  </si>
  <si>
    <t>3.  Extreme Heat Temperatures</t>
  </si>
  <si>
    <r>
      <t>b.</t>
    </r>
    <r>
      <rPr>
        <sz val="7"/>
        <color rgb="FF000000"/>
        <rFont val="Times New Roman"/>
        <family val="1"/>
      </rPr>
      <t xml:space="preserve">    </t>
    </r>
    <r>
      <rPr>
        <sz val="11"/>
        <color rgb="FF000000"/>
        <rFont val="RTA Office Light"/>
      </rPr>
      <t>Colour fading caused by high heat, wearing off the paint</t>
    </r>
  </si>
  <si>
    <r>
      <t>c.</t>
    </r>
    <r>
      <rPr>
        <sz val="7"/>
        <color rgb="FF000000"/>
        <rFont val="Times New Roman"/>
        <family val="1"/>
      </rPr>
      <t xml:space="preserve">    </t>
    </r>
    <r>
      <rPr>
        <sz val="11"/>
        <color rgb="FF000000"/>
        <rFont val="RTA Office Light"/>
      </rPr>
      <t>Thermal stress, as the temperature difference between day and nighttime can cause additional stress.</t>
    </r>
  </si>
  <si>
    <r>
      <t>1.</t>
    </r>
    <r>
      <rPr>
        <sz val="7"/>
        <color rgb="FF000000"/>
        <rFont val="Times New Roman"/>
        <family val="1"/>
      </rPr>
      <t xml:space="preserve">          </t>
    </r>
    <r>
      <rPr>
        <sz val="11"/>
        <color rgb="FF000000"/>
        <rFont val="RTA Office Light"/>
      </rPr>
      <t>Regular Inspection and Maintenance after heating events to assess damage done to Gully.</t>
    </r>
  </si>
  <si>
    <r>
      <t>2.</t>
    </r>
    <r>
      <rPr>
        <sz val="7"/>
        <color rgb="FF000000"/>
        <rFont val="Times New Roman"/>
        <family val="1"/>
      </rPr>
      <t xml:space="preserve">        </t>
    </r>
    <r>
      <rPr>
        <sz val="11"/>
        <color rgb="FF000000"/>
        <rFont val="RTA Office Light"/>
      </rPr>
      <t xml:space="preserve">Apply protective coatings, to protect the surface of the Gully and not expose metal components. </t>
    </r>
  </si>
  <si>
    <r>
      <t>3.</t>
    </r>
    <r>
      <rPr>
        <sz val="7"/>
        <color rgb="FF000000"/>
        <rFont val="Times New Roman"/>
        <family val="1"/>
      </rPr>
      <t xml:space="preserve">        </t>
    </r>
    <r>
      <rPr>
        <sz val="11"/>
        <color rgb="FF000000"/>
        <rFont val="RTA Office Light"/>
      </rPr>
      <t>Use heat resistant materials to prevent degradation and withstand high heat temperatures.</t>
    </r>
  </si>
  <si>
    <t>Environmental and Climate Change can damage the Gully over time, causing erosion and deterioration.</t>
  </si>
  <si>
    <t xml:space="preserve">1. Incorporate climate resilience into asset design and maintenance strategies to improve durability and ensure adaptability to changing environmental conditions, thereby safeguarding the infrastructure of the Gully. </t>
  </si>
  <si>
    <r>
      <t>2.</t>
    </r>
    <r>
      <rPr>
        <sz val="7"/>
        <color theme="1"/>
        <rFont val="Times New Roman"/>
        <family val="1"/>
      </rPr>
      <t xml:space="preserve">      </t>
    </r>
    <r>
      <rPr>
        <sz val="11"/>
        <color rgb="FF000000"/>
        <rFont val="RTA Office Light"/>
      </rPr>
      <t>Conduct frequent inspections to identify and address damaged Gully promptly.</t>
    </r>
  </si>
  <si>
    <r>
      <t>c.</t>
    </r>
    <r>
      <rPr>
        <sz val="7"/>
        <color theme="1"/>
        <rFont val="Times New Roman"/>
        <family val="1"/>
      </rPr>
      <t xml:space="preserve">       </t>
    </r>
    <r>
      <rPr>
        <sz val="11"/>
        <color rgb="FF000000"/>
        <rFont val="RTA Office Light"/>
      </rPr>
      <t>Indirect effect on the maintenance budget due to extra expenditure on maintenance of Gully.</t>
    </r>
  </si>
  <si>
    <r>
      <t>a.</t>
    </r>
    <r>
      <rPr>
        <sz val="7"/>
        <color theme="1"/>
        <rFont val="Times New Roman"/>
        <family val="1"/>
      </rPr>
      <t xml:space="preserve">       </t>
    </r>
    <r>
      <rPr>
        <sz val="11"/>
        <color rgb="FF000000"/>
        <rFont val="RTA Office Light"/>
      </rPr>
      <t>Deliberate tampering with Gully by vandals or malicious actors.</t>
    </r>
  </si>
  <si>
    <r>
      <t>b.</t>
    </r>
    <r>
      <rPr>
        <sz val="7"/>
        <color theme="1"/>
        <rFont val="Times New Roman"/>
        <family val="1"/>
      </rPr>
      <t xml:space="preserve">      </t>
    </r>
    <r>
      <rPr>
        <sz val="11"/>
        <color rgb="FF000000"/>
        <rFont val="RTA Office Light"/>
      </rPr>
      <t>Forms of defacement on Gully surfaces, impairing visibility, and aesthetics.</t>
    </r>
  </si>
  <si>
    <r>
      <t>2.</t>
    </r>
    <r>
      <rPr>
        <sz val="7"/>
        <color theme="1"/>
        <rFont val="Times New Roman"/>
        <family val="1"/>
      </rPr>
      <t xml:space="preserve">      </t>
    </r>
    <r>
      <rPr>
        <sz val="11"/>
        <color rgb="FF000000"/>
        <rFont val="RTA Office Light"/>
      </rPr>
      <t>Implement anti-defacing coatings on Gully to facilitate easier clean-up and discourage future vandalism.</t>
    </r>
  </si>
  <si>
    <r>
      <t>a.</t>
    </r>
    <r>
      <rPr>
        <sz val="7"/>
        <color theme="1"/>
        <rFont val="Times New Roman"/>
        <family val="1"/>
      </rPr>
      <t xml:space="preserve">       </t>
    </r>
    <r>
      <rPr>
        <sz val="11"/>
        <color rgb="FF000000"/>
        <rFont val="RTA Office Light"/>
      </rPr>
      <t>Corrosion of Gully components due to exposure to salt spray from coastal areas or chemical runoff from nearby roadways.</t>
    </r>
  </si>
  <si>
    <r>
      <t>b.</t>
    </r>
    <r>
      <rPr>
        <sz val="7"/>
        <color theme="1"/>
        <rFont val="Times New Roman"/>
        <family val="1"/>
      </rPr>
      <t xml:space="preserve">      </t>
    </r>
    <r>
      <rPr>
        <sz val="11"/>
        <color rgb="FF000000"/>
        <rFont val="RTA Office Light"/>
      </rPr>
      <t>Deterioration of Gully coatings or finishes, reducing resistance to corrosion and compromising aesthetics.</t>
    </r>
  </si>
  <si>
    <r>
      <t>1.</t>
    </r>
    <r>
      <rPr>
        <sz val="7"/>
        <color theme="1"/>
        <rFont val="Times New Roman"/>
        <family val="1"/>
      </rPr>
      <t xml:space="preserve">        </t>
    </r>
    <r>
      <rPr>
        <sz val="11"/>
        <color rgb="FF000000"/>
        <rFont val="RTA Office Light"/>
      </rPr>
      <t>Regularly inspect Gully for signs of corrosion or deterioration, especially in areas prone to water accumulation.</t>
    </r>
  </si>
  <si>
    <r>
      <t>2.</t>
    </r>
    <r>
      <rPr>
        <sz val="7"/>
        <color theme="1"/>
        <rFont val="Times New Roman"/>
        <family val="1"/>
      </rPr>
      <t xml:space="preserve">      </t>
    </r>
    <r>
      <rPr>
        <sz val="11"/>
        <color rgb="FF000000"/>
        <rFont val="RTA Office Light"/>
      </rPr>
      <t>Implement corrosion protection measures such as galvanization, epoxy coatings, or sacrificial anodes to extend the service life of Gully components.</t>
    </r>
  </si>
  <si>
    <t>RFMD Inspection and Maintenance Team, Gully Material Supplier and Installer and the Maintenance Contractor</t>
  </si>
  <si>
    <t>Gully installations not meeting required standards may cause standing water during the rainy season.</t>
  </si>
  <si>
    <r>
      <t>1.</t>
    </r>
    <r>
      <rPr>
        <sz val="7"/>
        <color theme="1"/>
        <rFont val="Times New Roman"/>
        <family val="1"/>
      </rPr>
      <t xml:space="preserve">        </t>
    </r>
    <r>
      <rPr>
        <sz val="11"/>
        <color rgb="FF000000"/>
        <rFont val="RTA Office Light"/>
      </rPr>
      <t>Ensure compliance with relevant design standards and requirements during the planning and installation phases of Gully projects.</t>
    </r>
  </si>
  <si>
    <r>
      <t>2.</t>
    </r>
    <r>
      <rPr>
        <sz val="7"/>
        <color theme="1"/>
        <rFont val="Times New Roman"/>
        <family val="1"/>
      </rPr>
      <t xml:space="preserve">      </t>
    </r>
    <r>
      <rPr>
        <sz val="11"/>
        <color rgb="FF000000"/>
        <rFont val="RTA Office Light"/>
      </rPr>
      <t xml:space="preserve">Conduct thorough site assessments to identify potential hazards and optimize Gully placement. </t>
    </r>
  </si>
  <si>
    <t>3. Road Safety</t>
  </si>
  <si>
    <t>Standing water on roadways caused by blocked gullies can create hazards for motorists, increasing the risk of accidents, hydroplaning, and loss of vehicle control.</t>
  </si>
  <si>
    <t>Conduct regular cleaning of the gullies ensuring to remove the accumulated sand or any other blockage</t>
  </si>
  <si>
    <t>4. Public Safety</t>
  </si>
  <si>
    <t>Missing or damaged gully covers pose a great threat to the pedestrians and other road users.</t>
  </si>
  <si>
    <t>Remove and replace the damaged gully covers.</t>
  </si>
  <si>
    <t>5. Public Health Concerns</t>
  </si>
  <si>
    <t>Stagnant water due to blocked gullies can create breeding grounds for mosquitoes and other pests, increasing the risk of vector-borne diseases and public health concerns.</t>
  </si>
  <si>
    <t>Conduct regular cleaning of the gullies ensuring to remove the accumulated sand or any other blockage.</t>
  </si>
  <si>
    <t>7. Erosion</t>
  </si>
  <si>
    <t>Inadequate drainage due to gully blockages can lead to erosion of soil and destabilization of embankments or slopes, posing risks to nearby structures or landscapes.</t>
  </si>
  <si>
    <t>8. Failure to Inspect and Maintain</t>
  </si>
  <si>
    <r>
      <t>a.</t>
    </r>
    <r>
      <rPr>
        <sz val="7"/>
        <color theme="1"/>
        <rFont val="Times New Roman"/>
        <family val="1"/>
      </rPr>
      <t xml:space="preserve">       </t>
    </r>
    <r>
      <rPr>
        <sz val="11"/>
        <color rgb="FF000000"/>
        <rFont val="RTA Office Light"/>
      </rPr>
      <t>Lack of routine inspections leading to undetected defects or deterioration in Gully components.</t>
    </r>
  </si>
  <si>
    <t>2. Establish a proactive maintenance program focused on preventive measures such as cleaning and painting, to mitigate corrosion and prolong Gully lifespan.</t>
  </si>
  <si>
    <r>
      <t>a.</t>
    </r>
    <r>
      <rPr>
        <sz val="7"/>
        <color theme="1"/>
        <rFont val="Times New Roman"/>
        <family val="1"/>
      </rPr>
      <t xml:space="preserve">       </t>
    </r>
    <r>
      <rPr>
        <sz val="11"/>
        <color rgb="FF000000"/>
        <rFont val="RTA Office Light"/>
      </rPr>
      <t>Delays in responding to reported Gully damages due to ineffective communication or resource allocation.</t>
    </r>
  </si>
  <si>
    <r>
      <t>b.</t>
    </r>
    <r>
      <rPr>
        <sz val="7"/>
        <color theme="1"/>
        <rFont val="Times New Roman"/>
        <family val="1"/>
      </rPr>
      <t xml:space="preserve">      </t>
    </r>
    <r>
      <rPr>
        <sz val="11"/>
        <color rgb="FF000000"/>
        <rFont val="RTA Office Light"/>
      </rPr>
      <t>Lack of standardized procedures or protocols for assessing and prioritizing Gully repairs, leading to inconsistent outcomes.</t>
    </r>
  </si>
  <si>
    <r>
      <t>1.</t>
    </r>
    <r>
      <rPr>
        <sz val="7"/>
        <color theme="1"/>
        <rFont val="Times New Roman"/>
        <family val="1"/>
      </rPr>
      <t xml:space="preserve">        </t>
    </r>
    <r>
      <rPr>
        <sz val="11"/>
        <color rgb="FF000000"/>
        <rFont val="RTA Office Light"/>
      </rPr>
      <t>Implement a centralized reporting system for documenting and tracking Gully damage reports, streamlining communication and ensuring timely responses.</t>
    </r>
  </si>
  <si>
    <r>
      <t>a.</t>
    </r>
    <r>
      <rPr>
        <sz val="7"/>
        <color theme="1"/>
        <rFont val="Times New Roman"/>
        <family val="1"/>
      </rPr>
      <t xml:space="preserve">       </t>
    </r>
    <r>
      <rPr>
        <sz val="11"/>
        <color rgb="FF000000"/>
        <rFont val="RTA Office Light"/>
      </rPr>
      <t>Insufficient training for maintenance personnel in identifying, assessing, and repairing Gully defects or damage.</t>
    </r>
  </si>
  <si>
    <r>
      <t>1.</t>
    </r>
    <r>
      <rPr>
        <sz val="7"/>
        <color theme="1"/>
        <rFont val="Times New Roman"/>
        <family val="1"/>
      </rPr>
      <t xml:space="preserve">        </t>
    </r>
    <r>
      <rPr>
        <sz val="11"/>
        <color rgb="FF000000"/>
        <rFont val="RTA Office Light"/>
      </rPr>
      <t>Develop a comprehensive training program covering Gully inspection techniques, repair procedures, safety protocols, and equipment operation.</t>
    </r>
  </si>
  <si>
    <r>
      <t>a.</t>
    </r>
    <r>
      <rPr>
        <sz val="7"/>
        <color theme="1"/>
        <rFont val="Times New Roman"/>
        <family val="1"/>
      </rPr>
      <t xml:space="preserve">       </t>
    </r>
    <r>
      <rPr>
        <sz val="11"/>
        <color rgb="FF000000"/>
        <rFont val="RTA Office Light"/>
      </rPr>
      <t>Limited funding for Gully maintenance and repair activities, resulting in deferred maintenance and increased asset deterioration.</t>
    </r>
  </si>
  <si>
    <r>
      <t>b.</t>
    </r>
    <r>
      <rPr>
        <sz val="7"/>
        <color theme="1"/>
        <rFont val="Times New Roman"/>
        <family val="1"/>
      </rPr>
      <t xml:space="preserve">      </t>
    </r>
    <r>
      <rPr>
        <sz val="11"/>
        <color rgb="FF000000"/>
        <rFont val="RTA Office Light"/>
      </rPr>
      <t>Inability to invest in technological advancements or innovative solutions to improve Gully performance and longevity.</t>
    </r>
  </si>
  <si>
    <r>
      <t>1.</t>
    </r>
    <r>
      <rPr>
        <sz val="7"/>
        <color theme="1"/>
        <rFont val="Times New Roman"/>
        <family val="1"/>
      </rPr>
      <t xml:space="preserve">        </t>
    </r>
    <r>
      <rPr>
        <sz val="11"/>
        <color rgb="FF000000"/>
        <rFont val="RTA Office Light"/>
      </rPr>
      <t>Advocate for dedicated funding allocations for Gully maintenance and repair as part of the annual budgeting process, highlighting the importance of preserving critical infrastructure assets and ensuring public safety.</t>
    </r>
  </si>
  <si>
    <r>
      <t>1.</t>
    </r>
    <r>
      <rPr>
        <b/>
        <sz val="7"/>
        <color rgb="FF000000"/>
        <rFont val="Times New Roman"/>
        <family val="1"/>
      </rPr>
      <t xml:space="preserve">  </t>
    </r>
    <r>
      <rPr>
        <b/>
        <sz val="11"/>
        <color rgb="FF000000"/>
        <rFont val="RTA Office Light"/>
      </rPr>
      <t>Operational Risk Events</t>
    </r>
  </si>
  <si>
    <t>Owner Responsible Action</t>
  </si>
  <si>
    <r>
      <t>a.</t>
    </r>
    <r>
      <rPr>
        <sz val="7"/>
        <color rgb="FF000000"/>
        <rFont val="Times New Roman"/>
        <family val="1"/>
      </rPr>
      <t xml:space="preserve">       </t>
    </r>
    <r>
      <rPr>
        <sz val="11"/>
        <color rgb="FF000000"/>
        <rFont val="RTA Office Light"/>
      </rPr>
      <t>Sandstorms cause abrasion and erosion of Roadside Drainage surface, causing deteriorations, which reduces structural integrity.</t>
    </r>
  </si>
  <si>
    <r>
      <t>b.</t>
    </r>
    <r>
      <rPr>
        <sz val="7"/>
        <color rgb="FF000000"/>
        <rFont val="Times New Roman"/>
        <family val="1"/>
      </rPr>
      <t xml:space="preserve">      </t>
    </r>
    <r>
      <rPr>
        <sz val="11"/>
        <color rgb="FF000000"/>
        <rFont val="RTA Office Light"/>
      </rPr>
      <t>Sandstorms can clog Roadside Drainage, reducing efficiency and the effectiveness of the Roadside Drainage.</t>
    </r>
  </si>
  <si>
    <r>
      <t>1.</t>
    </r>
    <r>
      <rPr>
        <sz val="7"/>
        <color theme="1"/>
        <rFont val="Times New Roman"/>
        <family val="1"/>
      </rPr>
      <t xml:space="preserve">       </t>
    </r>
    <r>
      <rPr>
        <sz val="11"/>
        <color rgb="FF000000"/>
        <rFont val="RTA Office Light"/>
      </rPr>
      <t>Implement regular inspections following extreme weather events to assess Roadside Drainage integrity and address any damage promptly.</t>
    </r>
  </si>
  <si>
    <r>
      <t>2.</t>
    </r>
    <r>
      <rPr>
        <sz val="7"/>
        <color theme="1"/>
        <rFont val="Times New Roman"/>
        <family val="1"/>
      </rPr>
      <t xml:space="preserve">       </t>
    </r>
    <r>
      <rPr>
        <sz val="11"/>
        <color rgb="FF000000"/>
        <rFont val="RTA Office Light"/>
      </rPr>
      <t>Utilize weather forecasting technology to anticipate severe weather conditions and implement pre-emptive measures, such as increased maintenance patrols and cleaning activities.</t>
    </r>
  </si>
  <si>
    <r>
      <t>a.</t>
    </r>
    <r>
      <rPr>
        <sz val="7"/>
        <color theme="1"/>
        <rFont val="Times New Roman"/>
        <family val="1"/>
      </rPr>
      <t xml:space="preserve">       </t>
    </r>
    <r>
      <rPr>
        <sz val="11"/>
        <color rgb="FF000000"/>
        <rFont val="RTA Office Light"/>
      </rPr>
      <t>Heavy rainfall can result in flooding, which can damage the Roadside Drainage, causing overflow, erosion, deterioration and compromising safety.</t>
    </r>
  </si>
  <si>
    <t>1. Diversity funding sources and maintain a contingency reserve to mitigate financial risk and handle unexpected costs.</t>
  </si>
  <si>
    <t xml:space="preserve">1. Incorporate climate resilience into asset design and maintenance strategies to improve durability and ensure adaptability to changing environmental conditions, thereby safeguarding the infrastructure of the Roadside Drainage. </t>
  </si>
  <si>
    <r>
      <t>2.</t>
    </r>
    <r>
      <rPr>
        <sz val="7"/>
        <color theme="1"/>
        <rFont val="Times New Roman"/>
        <family val="1"/>
      </rPr>
      <t xml:space="preserve">       </t>
    </r>
    <r>
      <rPr>
        <sz val="11"/>
        <color rgb="FF000000"/>
        <rFont val="RTA Office Light"/>
      </rPr>
      <t>Conduct frequent inspections to identify and address damaged Roadside Drainage promptly.</t>
    </r>
  </si>
  <si>
    <r>
      <t>c.</t>
    </r>
    <r>
      <rPr>
        <sz val="7"/>
        <color theme="1"/>
        <rFont val="Times New Roman"/>
        <family val="1"/>
      </rPr>
      <t xml:space="preserve">       </t>
    </r>
    <r>
      <rPr>
        <sz val="11"/>
        <color rgb="FF000000"/>
        <rFont val="RTA Office Light"/>
      </rPr>
      <t>Indirect effect on the maintenance budget due to extra expenditure on maintenance of Roadside Drainage.</t>
    </r>
  </si>
  <si>
    <t>3. Introduction of performance-based contracting.</t>
  </si>
  <si>
    <r>
      <t>a.</t>
    </r>
    <r>
      <rPr>
        <sz val="7"/>
        <color theme="1"/>
        <rFont val="Times New Roman"/>
        <family val="1"/>
      </rPr>
      <t xml:space="preserve">       </t>
    </r>
    <r>
      <rPr>
        <sz val="11"/>
        <color rgb="FF000000"/>
        <rFont val="RTA Office Light"/>
      </rPr>
      <t>Deliberate tampering with Roadside Drainage by vandals or malicious actors.</t>
    </r>
  </si>
  <si>
    <r>
      <t>b.</t>
    </r>
    <r>
      <rPr>
        <sz val="7"/>
        <color theme="1"/>
        <rFont val="Times New Roman"/>
        <family val="1"/>
      </rPr>
      <t xml:space="preserve">      </t>
    </r>
    <r>
      <rPr>
        <sz val="11"/>
        <color rgb="FF000000"/>
        <rFont val="RTA Office Light"/>
      </rPr>
      <t>Forms of defacement on Roadside Drainage surfaces, impairing visibility and aesthetics.</t>
    </r>
  </si>
  <si>
    <r>
      <t>2.</t>
    </r>
    <r>
      <rPr>
        <sz val="7"/>
        <color theme="1"/>
        <rFont val="Times New Roman"/>
        <family val="1"/>
      </rPr>
      <t xml:space="preserve">      </t>
    </r>
    <r>
      <rPr>
        <sz val="11"/>
        <color rgb="FF000000"/>
        <rFont val="RTA Office Light"/>
      </rPr>
      <t>Implement anti-defacing coatings on Roadside Drainage to facilitate easier clean-up and discourage future vandalism.</t>
    </r>
  </si>
  <si>
    <t>a. Over time, materials used in Roadside Drainage can degrade, leading to cracks, deteriorations, compromising the overall structural integrity of the Roadside Drainage.</t>
  </si>
  <si>
    <r>
      <t>1.</t>
    </r>
    <r>
      <rPr>
        <sz val="7"/>
        <color theme="1"/>
        <rFont val="Times New Roman"/>
        <family val="1"/>
      </rPr>
      <t xml:space="preserve">        </t>
    </r>
    <r>
      <rPr>
        <sz val="11"/>
        <color rgb="FF000000"/>
        <rFont val="RTA Office Light"/>
      </rPr>
      <t>Regularly inspect Roadside Drainage to identify early signs of deterioration.</t>
    </r>
  </si>
  <si>
    <r>
      <t>3.</t>
    </r>
    <r>
      <rPr>
        <sz val="7"/>
        <color theme="1"/>
        <rFont val="Times New Roman"/>
        <family val="1"/>
      </rPr>
      <t xml:space="preserve">      </t>
    </r>
    <r>
      <rPr>
        <sz val="11"/>
        <color rgb="FF000000"/>
        <rFont val="RTA Office Light"/>
      </rPr>
      <t>Implement protection measures to extend the service life of Roadside Drainage components.</t>
    </r>
  </si>
  <si>
    <t>RFMD Inspection and Maintenance Team, Roadside Drainage Material Supplier and Installer and the Maintenance Contractor</t>
  </si>
  <si>
    <t>2. Inadequate Design</t>
  </si>
  <si>
    <r>
      <t>a.</t>
    </r>
    <r>
      <rPr>
        <sz val="7"/>
        <color theme="1"/>
        <rFont val="Times New Roman"/>
        <family val="1"/>
      </rPr>
      <t xml:space="preserve">       </t>
    </r>
    <r>
      <rPr>
        <sz val="11"/>
        <color rgb="FF000000"/>
        <rFont val="RTA Office Light"/>
      </rPr>
      <t>Insufficient capacity in drainage systems can occur when the volume of water surpasses the designed capacity of the Roadside Drainage, resulting in localized flooding and waterlogging.</t>
    </r>
  </si>
  <si>
    <r>
      <t>1.</t>
    </r>
    <r>
      <rPr>
        <sz val="7"/>
        <color theme="1"/>
        <rFont val="Times New Roman"/>
        <family val="1"/>
      </rPr>
      <t xml:space="preserve">        </t>
    </r>
    <r>
      <rPr>
        <sz val="11"/>
        <color rgb="FF000000"/>
        <rFont val="RTA Office Light"/>
      </rPr>
      <t>Ensure compliance with relevant design standards and requirements during the planning and construction phases of Roadside Drainage projects.</t>
    </r>
  </si>
  <si>
    <t>3. Blockage due to Debris Accumulation</t>
  </si>
  <si>
    <r>
      <t>a.</t>
    </r>
    <r>
      <rPr>
        <sz val="7"/>
        <color theme="1"/>
        <rFont val="Times New Roman"/>
        <family val="1"/>
      </rPr>
      <t xml:space="preserve">       </t>
    </r>
    <r>
      <rPr>
        <sz val="11"/>
        <color rgb="FF000000"/>
        <rFont val="RTA Office Light"/>
      </rPr>
      <t>Roadside Drainage can become blocked by the accumulation of debris such as sand and vegetation, leading to in-effective Roadside Drainage functionality.</t>
    </r>
  </si>
  <si>
    <r>
      <t>1.</t>
    </r>
    <r>
      <rPr>
        <sz val="7"/>
        <color theme="1"/>
        <rFont val="Times New Roman"/>
        <family val="1"/>
      </rPr>
      <t xml:space="preserve">        </t>
    </r>
    <r>
      <rPr>
        <sz val="11"/>
        <color rgb="FF000000"/>
        <rFont val="RTA Office Light"/>
      </rPr>
      <t>Perform regular inspection and cleaning procedures to remove sand, vegetation, and other debris to ensure that the Roadside Drainage are free from blockages.</t>
    </r>
  </si>
  <si>
    <t>4. Failure to Inspect and Maintain</t>
  </si>
  <si>
    <r>
      <t>a.</t>
    </r>
    <r>
      <rPr>
        <sz val="7"/>
        <color theme="1"/>
        <rFont val="Times New Roman"/>
        <family val="1"/>
      </rPr>
      <t xml:space="preserve">       </t>
    </r>
    <r>
      <rPr>
        <sz val="11"/>
        <color rgb="FF000000"/>
        <rFont val="RTA Office Light"/>
      </rPr>
      <t>Lack of routine inspections leading to undetected defects or deterioration in Roadside Drainage components.</t>
    </r>
  </si>
  <si>
    <t>2. Establish a proactive maintenance program focused on preventive measures such as cleaning and painting, to prolong Roadside Drainage lifespan.</t>
  </si>
  <si>
    <r>
      <t>a.</t>
    </r>
    <r>
      <rPr>
        <sz val="7"/>
        <color theme="1"/>
        <rFont val="Times New Roman"/>
        <family val="1"/>
      </rPr>
      <t xml:space="preserve">       </t>
    </r>
    <r>
      <rPr>
        <sz val="11"/>
        <color rgb="FF000000"/>
        <rFont val="RTA Office Light"/>
      </rPr>
      <t>Delays in responding to reported Roadside Drainage damages due to ineffective communication or resource allocation.</t>
    </r>
  </si>
  <si>
    <r>
      <t>b.</t>
    </r>
    <r>
      <rPr>
        <sz val="7"/>
        <color theme="1"/>
        <rFont val="Times New Roman"/>
        <family val="1"/>
      </rPr>
      <t xml:space="preserve">      </t>
    </r>
    <r>
      <rPr>
        <sz val="11"/>
        <color rgb="FF000000"/>
        <rFont val="RTA Office Light"/>
      </rPr>
      <t>Lack of standardized procedures or protocols for assessing and prioritizing Roadside Drainage repairs, leading to inconsistent outcomes.</t>
    </r>
  </si>
  <si>
    <r>
      <t>1.</t>
    </r>
    <r>
      <rPr>
        <sz val="7"/>
        <color theme="1"/>
        <rFont val="Times New Roman"/>
        <family val="1"/>
      </rPr>
      <t xml:space="preserve">        </t>
    </r>
    <r>
      <rPr>
        <sz val="11"/>
        <color rgb="FF000000"/>
        <rFont val="RTA Office Light"/>
      </rPr>
      <t>Implement a centralized reporting system for documenting and tracking Roadside Drainage damage reports, streamlining communication and ensuring timely responses.</t>
    </r>
  </si>
  <si>
    <r>
      <t>a.</t>
    </r>
    <r>
      <rPr>
        <sz val="7"/>
        <color theme="1"/>
        <rFont val="Times New Roman"/>
        <family val="1"/>
      </rPr>
      <t xml:space="preserve">       </t>
    </r>
    <r>
      <rPr>
        <sz val="11"/>
        <color rgb="FF000000"/>
        <rFont val="RTA Office Light"/>
      </rPr>
      <t>Insufficient training for maintenance personnel in identifying, assessing, and repairing Roadside Drainage defects or damage.</t>
    </r>
  </si>
  <si>
    <r>
      <t>1.</t>
    </r>
    <r>
      <rPr>
        <sz val="7"/>
        <color theme="1"/>
        <rFont val="Times New Roman"/>
        <family val="1"/>
      </rPr>
      <t xml:space="preserve">        </t>
    </r>
    <r>
      <rPr>
        <sz val="11"/>
        <color rgb="FF000000"/>
        <rFont val="RTA Office Light"/>
      </rPr>
      <t>Develop a comprehensive training program covering Roadside Drainage inspection techniques, repair procedures, safety protocols, and equipment operation.</t>
    </r>
  </si>
  <si>
    <r>
      <t>a.</t>
    </r>
    <r>
      <rPr>
        <sz val="7"/>
        <color theme="1"/>
        <rFont val="Times New Roman"/>
        <family val="1"/>
      </rPr>
      <t xml:space="preserve">       </t>
    </r>
    <r>
      <rPr>
        <sz val="11"/>
        <color rgb="FF000000"/>
        <rFont val="RTA Office Light"/>
      </rPr>
      <t>Limited funding for Roadside Drainage maintenance and repair activities, resulting in deferred maintenance and increased asset deterioration.</t>
    </r>
  </si>
  <si>
    <r>
      <t>b.</t>
    </r>
    <r>
      <rPr>
        <sz val="7"/>
        <color theme="1"/>
        <rFont val="Times New Roman"/>
        <family val="1"/>
      </rPr>
      <t xml:space="preserve">      </t>
    </r>
    <r>
      <rPr>
        <sz val="11"/>
        <color rgb="FF000000"/>
        <rFont val="RTA Office Light"/>
      </rPr>
      <t>Inability to invest in technological advancements or innovative solutions to improve Roadside Drainage performance and longevity.</t>
    </r>
  </si>
  <si>
    <r>
      <t>1.</t>
    </r>
    <r>
      <rPr>
        <sz val="7"/>
        <color theme="1"/>
        <rFont val="Times New Roman"/>
        <family val="1"/>
      </rPr>
      <t xml:space="preserve">        </t>
    </r>
    <r>
      <rPr>
        <sz val="11"/>
        <color rgb="FF000000"/>
        <rFont val="RTA Office Light"/>
      </rPr>
      <t>Advocate for dedicated funding allocations for Roadside Drainage maintenance and repair as part of the annual budgeting process, highlighting the importance of preserving critical infrastructure assets and ensuring public safety.</t>
    </r>
  </si>
  <si>
    <t>A. External Impacts on The Agency</t>
  </si>
  <si>
    <t>1. Sandstorms</t>
  </si>
  <si>
    <r>
      <t>a.</t>
    </r>
    <r>
      <rPr>
        <sz val="7"/>
        <color theme="1"/>
        <rFont val="Times New Roman"/>
        <family val="1"/>
      </rPr>
      <t xml:space="preserve">       </t>
    </r>
    <r>
      <rPr>
        <sz val="11"/>
        <color rgb="FF000000"/>
        <rFont val="RTA Office Light"/>
      </rPr>
      <t>Sandstorms cause abrasion and erosion on the surface of the Road Stud, reducing their visibility.</t>
    </r>
  </si>
  <si>
    <r>
      <t>b.</t>
    </r>
    <r>
      <rPr>
        <sz val="7"/>
        <color theme="1"/>
        <rFont val="Times New Roman"/>
        <family val="1"/>
      </rPr>
      <t xml:space="preserve">      </t>
    </r>
    <r>
      <rPr>
        <sz val="11"/>
        <color rgb="FF000000"/>
        <rFont val="RTA Office Light"/>
      </rPr>
      <t>Accumulation of sand around and over the studs can cover them, making it harder to see.</t>
    </r>
  </si>
  <si>
    <r>
      <t>1.</t>
    </r>
    <r>
      <rPr>
        <sz val="7"/>
        <color theme="1"/>
        <rFont val="Times New Roman"/>
        <family val="1"/>
      </rPr>
      <t xml:space="preserve">       </t>
    </r>
    <r>
      <rPr>
        <sz val="11"/>
        <color rgb="FF000000"/>
        <rFont val="RTA Office Light"/>
      </rPr>
      <t>Implement regular inspections following extreme weather events to assess Road Stud to remove accumulated sand from road studs.</t>
    </r>
  </si>
  <si>
    <r>
      <t>2.</t>
    </r>
    <r>
      <rPr>
        <sz val="7"/>
        <color theme="1"/>
        <rFont val="Times New Roman"/>
        <family val="1"/>
      </rPr>
      <t xml:space="preserve">       </t>
    </r>
    <r>
      <rPr>
        <sz val="11"/>
        <color rgb="FF000000"/>
        <rFont val="RTA Office Light"/>
      </rPr>
      <t>Use high-quality reflective materials that maintain visibility even when partially covered by sand.</t>
    </r>
  </si>
  <si>
    <r>
      <t>a.</t>
    </r>
    <r>
      <rPr>
        <sz val="7"/>
        <color theme="1"/>
        <rFont val="Times New Roman"/>
        <family val="1"/>
      </rPr>
      <t xml:space="preserve">    </t>
    </r>
    <r>
      <rPr>
        <sz val="11"/>
        <color rgb="FF000000"/>
        <rFont val="RTA Office Light"/>
      </rPr>
      <t>Floodwater often carries debris, which can impact damage and obscure the studs.</t>
    </r>
  </si>
  <si>
    <r>
      <t>b.</t>
    </r>
    <r>
      <rPr>
        <sz val="7"/>
        <color theme="1"/>
        <rFont val="Times New Roman"/>
        <family val="1"/>
      </rPr>
      <t xml:space="preserve">   </t>
    </r>
    <r>
      <rPr>
        <sz val="11"/>
        <color rgb="FF000000"/>
        <rFont val="RTA Office Light"/>
      </rPr>
      <t>The sheer weight of water during a flood can put additional stress on the Road Stud structure, potentially causing cracks or failure.</t>
    </r>
  </si>
  <si>
    <t>1. Regular Inspection and Maintenance after flooding events to assess damage done to Road Stud and remove any debris taken with the water.</t>
  </si>
  <si>
    <t>2. Enhanced drainage system to prevent water accumulation around the stud.</t>
  </si>
  <si>
    <t>3. Implement a completely sealed design to prevent water ingress with waterproof seals around openings and protect the reflective elements from water exposure.</t>
  </si>
  <si>
    <r>
      <t>1.</t>
    </r>
    <r>
      <rPr>
        <sz val="7"/>
        <color rgb="FF000000"/>
        <rFont val="Times New Roman"/>
        <family val="1"/>
      </rPr>
      <t xml:space="preserve">          </t>
    </r>
    <r>
      <rPr>
        <sz val="11"/>
        <color rgb="FF000000"/>
        <rFont val="RTA Office Light"/>
      </rPr>
      <t>Regular Inspection and Maintenance after heating events to assess damage done to Road Studs.</t>
    </r>
  </si>
  <si>
    <r>
      <t>2.</t>
    </r>
    <r>
      <rPr>
        <sz val="7"/>
        <color rgb="FF000000"/>
        <rFont val="Times New Roman"/>
        <family val="1"/>
      </rPr>
      <t xml:space="preserve">        </t>
    </r>
    <r>
      <rPr>
        <sz val="11"/>
        <color rgb="FF000000"/>
        <rFont val="RTA Office Light"/>
      </rPr>
      <t xml:space="preserve">Implement UV resistant coatings to reflective surfaces, to protect the surface of the Road Studs and not expose metal components. </t>
    </r>
  </si>
  <si>
    <t>3. Use heat resistant materials to prevent degradation and withstand high heat temperatures.</t>
  </si>
  <si>
    <t>Environmental and Climate Change can damage the Road Studs over time, causing erosion and deterioration.</t>
  </si>
  <si>
    <r>
      <t>1.</t>
    </r>
    <r>
      <rPr>
        <sz val="7"/>
        <color theme="1"/>
        <rFont val="Times New Roman"/>
        <family val="1"/>
      </rPr>
      <t xml:space="preserve">        </t>
    </r>
    <r>
      <rPr>
        <sz val="11"/>
        <color rgb="FF000000"/>
        <rFont val="RTA Office Light"/>
      </rPr>
      <t xml:space="preserve">Incorporate climate resilience into asset design and maintenance strategies to improve durability and ensure adaptability to changing environmental conditions, thereby safeguarding the infrastructure of the Road Studs. </t>
    </r>
  </si>
  <si>
    <r>
      <t>2.</t>
    </r>
    <r>
      <rPr>
        <sz val="7"/>
        <color rgb="FF000000"/>
        <rFont val="Times New Roman"/>
        <family val="1"/>
      </rPr>
      <t xml:space="preserve">      </t>
    </r>
    <r>
      <rPr>
        <sz val="11"/>
        <color rgb="FF000000"/>
        <rFont val="RTA Office Light"/>
      </rPr>
      <t>Conduct frequent inspections to identify and address damaged Road Studs promptly.</t>
    </r>
  </si>
  <si>
    <r>
      <t>c.</t>
    </r>
    <r>
      <rPr>
        <sz val="7"/>
        <color theme="1"/>
        <rFont val="Times New Roman"/>
        <family val="1"/>
      </rPr>
      <t xml:space="preserve">       </t>
    </r>
    <r>
      <rPr>
        <sz val="11"/>
        <color rgb="FF000000"/>
        <rFont val="RTA Office Light"/>
      </rPr>
      <t>Indirect effect on the maintenance budget due to extra expenditure on maintenance of Road Studs.</t>
    </r>
  </si>
  <si>
    <r>
      <t>a.</t>
    </r>
    <r>
      <rPr>
        <sz val="7"/>
        <color theme="1"/>
        <rFont val="Times New Roman"/>
        <family val="1"/>
      </rPr>
      <t xml:space="preserve">       </t>
    </r>
    <r>
      <rPr>
        <sz val="11"/>
        <color rgb="FF000000"/>
        <rFont val="RTA Office Light"/>
      </rPr>
      <t>Deliberate tampering with Road Stud by vandals or malicious actors.</t>
    </r>
  </si>
  <si>
    <r>
      <t>b.</t>
    </r>
    <r>
      <rPr>
        <sz val="7"/>
        <color theme="1"/>
        <rFont val="Times New Roman"/>
        <family val="1"/>
      </rPr>
      <t xml:space="preserve">      </t>
    </r>
    <r>
      <rPr>
        <sz val="11"/>
        <color rgb="FF000000"/>
        <rFont val="RTA Office Light"/>
      </rPr>
      <t>Forms of defacement on Road Stud surfaces, impairing visibility and aesthetics.</t>
    </r>
  </si>
  <si>
    <r>
      <t>2.</t>
    </r>
    <r>
      <rPr>
        <sz val="7"/>
        <color theme="1"/>
        <rFont val="Times New Roman"/>
        <family val="1"/>
      </rPr>
      <t xml:space="preserve">      </t>
    </r>
    <r>
      <rPr>
        <sz val="11"/>
        <color rgb="FF000000"/>
        <rFont val="RTA Office Light"/>
      </rPr>
      <t>Implement anti-defacing coatings on Road Studs to facilitate easier clean-up and discourage future vandalism.</t>
    </r>
  </si>
  <si>
    <r>
      <t>a.</t>
    </r>
    <r>
      <rPr>
        <sz val="7"/>
        <color theme="1"/>
        <rFont val="Times New Roman"/>
        <family val="1"/>
      </rPr>
      <t xml:space="preserve">       </t>
    </r>
    <r>
      <rPr>
        <sz val="11"/>
        <color rgb="FF000000"/>
        <rFont val="RTA Office Light"/>
      </rPr>
      <t>Corrosion of Cycle Rack components due to exposure to salt spray from coastal areas or chemical runoff from nearby roadways.</t>
    </r>
  </si>
  <si>
    <r>
      <t>b.</t>
    </r>
    <r>
      <rPr>
        <sz val="7"/>
        <color theme="1"/>
        <rFont val="Times New Roman"/>
        <family val="1"/>
      </rPr>
      <t xml:space="preserve">      </t>
    </r>
    <r>
      <rPr>
        <sz val="11"/>
        <color rgb="FF000000"/>
        <rFont val="RTA Office Light"/>
      </rPr>
      <t>Deterioration of Cycle Rack coatings or finishes, reducing resistance to corrosion and compromising aesthetics.</t>
    </r>
  </si>
  <si>
    <r>
      <t>1.</t>
    </r>
    <r>
      <rPr>
        <sz val="7"/>
        <color theme="1"/>
        <rFont val="Times New Roman"/>
        <family val="1"/>
      </rPr>
      <t xml:space="preserve">        </t>
    </r>
    <r>
      <rPr>
        <sz val="11"/>
        <color rgb="FF000000"/>
        <rFont val="RTA Office Light"/>
      </rPr>
      <t>Regularly inspect Cycle Racks for signs of corrosion or deterioration, especially in areas prone to water accumulation.</t>
    </r>
  </si>
  <si>
    <r>
      <t>2.</t>
    </r>
    <r>
      <rPr>
        <sz val="7"/>
        <color theme="1"/>
        <rFont val="Times New Roman"/>
        <family val="1"/>
      </rPr>
      <t xml:space="preserve">      </t>
    </r>
    <r>
      <rPr>
        <sz val="11"/>
        <color rgb="FF000000"/>
        <rFont val="RTA Office Light"/>
      </rPr>
      <t>Implement corrosion protection measures such as galvanization, epoxy coatings, or sacrificial anodes to extend the service life of Cycle Rack components.</t>
    </r>
  </si>
  <si>
    <t>RFMD Inspection and Maintenance Team, Cycle Rack Material Supplier and Installer and the Maintenance Contractor</t>
  </si>
  <si>
    <t>In crowded areas, pedestrians may inadvertently walk into Road Studs, leading to trips, falls, or other injuries.</t>
  </si>
  <si>
    <r>
      <t>1.</t>
    </r>
    <r>
      <rPr>
        <sz val="7"/>
        <color theme="1"/>
        <rFont val="Times New Roman"/>
        <family val="1"/>
      </rPr>
      <t xml:space="preserve">        </t>
    </r>
    <r>
      <rPr>
        <sz val="11"/>
        <color rgb="FF000000"/>
        <rFont val="RTA Office Light"/>
      </rPr>
      <t xml:space="preserve">Use Road Studs with rounded tops to minimize injury risk. </t>
    </r>
  </si>
  <si>
    <r>
      <t>2.</t>
    </r>
    <r>
      <rPr>
        <sz val="7"/>
        <color theme="1"/>
        <rFont val="Times New Roman"/>
        <family val="1"/>
      </rPr>
      <t xml:space="preserve">      </t>
    </r>
    <r>
      <rPr>
        <sz val="11"/>
        <color rgb="FF000000"/>
        <rFont val="RTA Office Light"/>
      </rPr>
      <t>Install barriers or planters to create physical separation between pedestrians and Road Studs.</t>
    </r>
  </si>
  <si>
    <t>Poorly placed Road Studs can obstruct the path of individuals with mobility impairments, creating accessibility barriers.</t>
  </si>
  <si>
    <r>
      <t>1.</t>
    </r>
    <r>
      <rPr>
        <sz val="7"/>
        <color theme="1"/>
        <rFont val="Times New Roman"/>
        <family val="1"/>
      </rPr>
      <t xml:space="preserve">        </t>
    </r>
    <r>
      <rPr>
        <sz val="11"/>
        <color rgb="FF000000"/>
        <rFont val="RTA Office Light"/>
      </rPr>
      <t>Ensure Road Studs are placed in locations that do not obstruct accessible pathways.</t>
    </r>
  </si>
  <si>
    <r>
      <t>2.</t>
    </r>
    <r>
      <rPr>
        <sz val="7"/>
        <color theme="1"/>
        <rFont val="Times New Roman"/>
        <family val="1"/>
      </rPr>
      <t xml:space="preserve">      </t>
    </r>
    <r>
      <rPr>
        <sz val="11"/>
        <color rgb="FF000000"/>
        <rFont val="RTA Office Light"/>
      </rPr>
      <t>Use alternative methods such as removable Road Studs for temporary access needs.</t>
    </r>
  </si>
  <si>
    <t>4. Inadequate Protection</t>
  </si>
  <si>
    <t>Road Studs designed for security may be ineffective if not properly installed, anchored, or made of durable materials.</t>
  </si>
  <si>
    <r>
      <t>1.</t>
    </r>
    <r>
      <rPr>
        <sz val="7"/>
        <color theme="1"/>
        <rFont val="Times New Roman"/>
        <family val="1"/>
      </rPr>
      <t xml:space="preserve">        </t>
    </r>
    <r>
      <rPr>
        <sz val="11"/>
        <color rgb="FF000000"/>
        <rFont val="RTA Office Light"/>
      </rPr>
      <t>Ensure Road Studs are properly anchored into the ground with reinforced concrete footings.</t>
    </r>
  </si>
  <si>
    <r>
      <t>2.</t>
    </r>
    <r>
      <rPr>
        <sz val="7"/>
        <color theme="1"/>
        <rFont val="Times New Roman"/>
        <family val="1"/>
      </rPr>
      <t xml:space="preserve">      </t>
    </r>
    <r>
      <rPr>
        <sz val="11"/>
        <color rgb="FF000000"/>
        <rFont val="RTA Office Light"/>
      </rPr>
      <t>Consider additional security measures such as Road Stud covers or retractable Road Studs.</t>
    </r>
  </si>
  <si>
    <t>5. Inadequate Design or Installation</t>
  </si>
  <si>
    <r>
      <t>a.</t>
    </r>
    <r>
      <rPr>
        <sz val="7"/>
        <color theme="1"/>
        <rFont val="Times New Roman"/>
        <family val="1"/>
      </rPr>
      <t xml:space="preserve">       </t>
    </r>
    <r>
      <rPr>
        <sz val="11"/>
        <color rgb="FF000000"/>
        <rFont val="RTA Office Light"/>
      </rPr>
      <t>Road Studs installations not meeting required standards may pose collision risks to vehicles, cyclists, and pedestrians, especially in low-visibility conditions.</t>
    </r>
  </si>
  <si>
    <r>
      <t>b.</t>
    </r>
    <r>
      <rPr>
        <sz val="7"/>
        <color theme="1"/>
        <rFont val="Times New Roman"/>
        <family val="1"/>
      </rPr>
      <t xml:space="preserve">      </t>
    </r>
    <r>
      <rPr>
        <sz val="11"/>
        <color rgb="FF000000"/>
        <rFont val="RTA Office Light"/>
      </rPr>
      <t>Road Studs with poor reflectivity in pedestrian zones may cause tripping hazards if not properly visible or marked.</t>
    </r>
  </si>
  <si>
    <r>
      <t>3.</t>
    </r>
    <r>
      <rPr>
        <sz val="7"/>
        <color theme="1"/>
        <rFont val="Times New Roman"/>
        <family val="1"/>
      </rPr>
      <t xml:space="preserve">      </t>
    </r>
    <r>
      <rPr>
        <sz val="11"/>
        <color rgb="FF000000"/>
        <rFont val="RTA Office Light"/>
      </rPr>
      <t>Ensure compliance with relevant design standards and requirements during the planning and installation phases of Road Stud projects.</t>
    </r>
  </si>
  <si>
    <r>
      <t>4.</t>
    </r>
    <r>
      <rPr>
        <sz val="7"/>
        <color theme="1"/>
        <rFont val="Times New Roman"/>
        <family val="1"/>
      </rPr>
      <t xml:space="preserve">      </t>
    </r>
    <r>
      <rPr>
        <sz val="11"/>
        <color rgb="FF000000"/>
        <rFont val="RTA Office Light"/>
      </rPr>
      <t xml:space="preserve">Conduct thorough site assessments to identify potential hazards and optimize Road Stud placement. </t>
    </r>
  </si>
  <si>
    <t>6. Failure to Inspect and Maintain</t>
  </si>
  <si>
    <r>
      <t>a.</t>
    </r>
    <r>
      <rPr>
        <sz val="7"/>
        <color theme="1"/>
        <rFont val="Times New Roman"/>
        <family val="1"/>
      </rPr>
      <t xml:space="preserve">       </t>
    </r>
    <r>
      <rPr>
        <sz val="11"/>
        <color rgb="FF000000"/>
        <rFont val="RTA Office Light"/>
      </rPr>
      <t>Lack of routine inspections leading to undetected defects or deterioration in Road Stud components.</t>
    </r>
  </si>
  <si>
    <t>2. Establish a proactive maintenance program focused on preventive measures such as cleaning and painting, to mitigate corrosion and prolong Road Stud lifespan.</t>
  </si>
  <si>
    <r>
      <t>a.</t>
    </r>
    <r>
      <rPr>
        <sz val="7"/>
        <color theme="1"/>
        <rFont val="Times New Roman"/>
        <family val="1"/>
      </rPr>
      <t xml:space="preserve">       </t>
    </r>
    <r>
      <rPr>
        <sz val="11"/>
        <color rgb="FF000000"/>
        <rFont val="RTA Office Light"/>
      </rPr>
      <t>Delays in responding to reported Road Stud damages due to ineffective communication or resource allocation.</t>
    </r>
  </si>
  <si>
    <r>
      <t>b.</t>
    </r>
    <r>
      <rPr>
        <sz val="7"/>
        <color theme="1"/>
        <rFont val="Times New Roman"/>
        <family val="1"/>
      </rPr>
      <t xml:space="preserve">      </t>
    </r>
    <r>
      <rPr>
        <sz val="11"/>
        <color rgb="FF000000"/>
        <rFont val="RTA Office Light"/>
      </rPr>
      <t>Lack of standardized procedures or protocols for assessing and prioritizing Road Stud repairs, leading to inconsistent outcomes.</t>
    </r>
  </si>
  <si>
    <r>
      <t>1.</t>
    </r>
    <r>
      <rPr>
        <sz val="7"/>
        <color theme="1"/>
        <rFont val="Times New Roman"/>
        <family val="1"/>
      </rPr>
      <t xml:space="preserve">        </t>
    </r>
    <r>
      <rPr>
        <sz val="11"/>
        <color rgb="FF000000"/>
        <rFont val="RTA Office Light"/>
      </rPr>
      <t>Implement a centralized reporting system for documenting and tracking Road Stud damage reports, streamlining communication and ensuring timely responses.</t>
    </r>
  </si>
  <si>
    <r>
      <t>a.</t>
    </r>
    <r>
      <rPr>
        <sz val="7"/>
        <color theme="1"/>
        <rFont val="Times New Roman"/>
        <family val="1"/>
      </rPr>
      <t xml:space="preserve">       </t>
    </r>
    <r>
      <rPr>
        <sz val="11"/>
        <color rgb="FF000000"/>
        <rFont val="RTA Office Light"/>
      </rPr>
      <t>Insufficient training for maintenance personnel in identifying, assessing, and repairing Road Stud defects or damage.</t>
    </r>
  </si>
  <si>
    <r>
      <t>1.</t>
    </r>
    <r>
      <rPr>
        <sz val="7"/>
        <color theme="1"/>
        <rFont val="Times New Roman"/>
        <family val="1"/>
      </rPr>
      <t xml:space="preserve">        </t>
    </r>
    <r>
      <rPr>
        <sz val="11"/>
        <color rgb="FF000000"/>
        <rFont val="RTA Office Light"/>
      </rPr>
      <t>Develop a comprehensive training program covering Road Stud inspection techniques, repair procedures, safety protocols, and equipment operation.</t>
    </r>
  </si>
  <si>
    <r>
      <t>a.</t>
    </r>
    <r>
      <rPr>
        <sz val="7"/>
        <color theme="1"/>
        <rFont val="Times New Roman"/>
        <family val="1"/>
      </rPr>
      <t xml:space="preserve">       </t>
    </r>
    <r>
      <rPr>
        <sz val="11"/>
        <color rgb="FF000000"/>
        <rFont val="RTA Office Light"/>
      </rPr>
      <t>Limited funding for Road Stud maintenance and repair activities, resulting in deferred maintenance and increased asset deterioration.</t>
    </r>
  </si>
  <si>
    <r>
      <t>b.</t>
    </r>
    <r>
      <rPr>
        <sz val="7"/>
        <color theme="1"/>
        <rFont val="Times New Roman"/>
        <family val="1"/>
      </rPr>
      <t xml:space="preserve">      </t>
    </r>
    <r>
      <rPr>
        <sz val="11"/>
        <color rgb="FF000000"/>
        <rFont val="RTA Office Light"/>
      </rPr>
      <t>Inability to invest in technological advancements or innovative solutions to improve Road Stud performance and longevity.</t>
    </r>
  </si>
  <si>
    <r>
      <t>1.</t>
    </r>
    <r>
      <rPr>
        <sz val="7"/>
        <color theme="1"/>
        <rFont val="Times New Roman"/>
        <family val="1"/>
      </rPr>
      <t xml:space="preserve">        </t>
    </r>
    <r>
      <rPr>
        <sz val="11"/>
        <color rgb="FF000000"/>
        <rFont val="RTA Office Light"/>
      </rPr>
      <t xml:space="preserve">Advocate for dedicated funding allocations for Road Stud maintenance and repair as part of the annual budgeting process, highlighting the importance of preserving critical infrastructure assets and ensuring public safety. </t>
    </r>
  </si>
  <si>
    <r>
      <t>a.</t>
    </r>
    <r>
      <rPr>
        <sz val="7"/>
        <color theme="1"/>
        <rFont val="Times New Roman"/>
        <family val="1"/>
      </rPr>
      <t xml:space="preserve">     </t>
    </r>
    <r>
      <rPr>
        <sz val="11"/>
        <color rgb="FF000000"/>
        <rFont val="RTA Office Light"/>
      </rPr>
      <t>Sandstorms cause abrasion and erosion of Guardrail surfaces, causing deteriorations.</t>
    </r>
  </si>
  <si>
    <r>
      <t>1.</t>
    </r>
    <r>
      <rPr>
        <sz val="7"/>
        <color theme="1"/>
        <rFont val="Times New Roman"/>
        <family val="1"/>
      </rPr>
      <t xml:space="preserve">       </t>
    </r>
    <r>
      <rPr>
        <sz val="11"/>
        <color rgb="FF000000"/>
        <rFont val="RTA Office Light"/>
      </rPr>
      <t>Implement regular inspections following extreme weather events to assess Guardrail integrity and address any damage promptly.</t>
    </r>
  </si>
  <si>
    <r>
      <t>3.</t>
    </r>
    <r>
      <rPr>
        <sz val="7"/>
        <color theme="1"/>
        <rFont val="Times New Roman"/>
        <family val="1"/>
      </rPr>
      <t xml:space="preserve">       </t>
    </r>
    <r>
      <rPr>
        <sz val="11"/>
        <color rgb="FF000000"/>
        <rFont val="RTA Office Light"/>
      </rPr>
      <t>Implement protection measures, such as using protective coatings, to reduce erosion and extend the service life of the Guardrails.</t>
    </r>
  </si>
  <si>
    <r>
      <t>2.</t>
    </r>
    <r>
      <rPr>
        <b/>
        <sz val="7"/>
        <color theme="1"/>
        <rFont val="Times New Roman"/>
        <family val="1"/>
      </rPr>
      <t xml:space="preserve">    </t>
    </r>
    <r>
      <rPr>
        <b/>
        <sz val="11"/>
        <color rgb="FF000000"/>
        <rFont val="RTA Office Light"/>
      </rPr>
      <t>Flooding</t>
    </r>
  </si>
  <si>
    <r>
      <t>a.</t>
    </r>
    <r>
      <rPr>
        <sz val="7"/>
        <color theme="1"/>
        <rFont val="Times New Roman"/>
        <family val="1"/>
      </rPr>
      <t xml:space="preserve">    </t>
    </r>
    <r>
      <rPr>
        <sz val="11"/>
        <color rgb="FF000000"/>
        <rFont val="RTA Office Light"/>
      </rPr>
      <t>Heavy rainfall can result in flooding, which can damage the Guardrails, causing deterioration and compromising safety.</t>
    </r>
  </si>
  <si>
    <r>
      <t>1.</t>
    </r>
    <r>
      <rPr>
        <sz val="7"/>
        <color theme="1"/>
        <rFont val="Times New Roman"/>
        <family val="1"/>
      </rPr>
      <t xml:space="preserve">        </t>
    </r>
    <r>
      <rPr>
        <sz val="11"/>
        <color rgb="FF000000"/>
        <rFont val="RTA Office Light"/>
      </rPr>
      <t>Implement regular inspections following extreme weather events to assess Guardrail integrity and address any damage promptly.</t>
    </r>
  </si>
  <si>
    <r>
      <t>2.</t>
    </r>
    <r>
      <rPr>
        <sz val="7"/>
        <color theme="1"/>
        <rFont val="Times New Roman"/>
        <family val="1"/>
      </rPr>
      <t xml:space="preserve">      </t>
    </r>
    <r>
      <rPr>
        <sz val="11"/>
        <color rgb="FF000000"/>
        <rFont val="RTA Office Light"/>
      </rPr>
      <t>Utilize weather forecasting technology to anticipate severe weather conditions and implement pre-emptive measures, such as increased maintenance patrols.</t>
    </r>
  </si>
  <si>
    <r>
      <t>3.</t>
    </r>
    <r>
      <rPr>
        <sz val="7"/>
        <color theme="1"/>
        <rFont val="Times New Roman"/>
        <family val="1"/>
      </rPr>
      <t xml:space="preserve">      </t>
    </r>
    <r>
      <rPr>
        <sz val="11"/>
        <color rgb="FF000000"/>
        <rFont val="RTA Office Light"/>
      </rPr>
      <t>Improve drainage systems to prevent water accumulation.</t>
    </r>
  </si>
  <si>
    <r>
      <t>4.</t>
    </r>
    <r>
      <rPr>
        <sz val="7"/>
        <color theme="1"/>
        <rFont val="Times New Roman"/>
        <family val="1"/>
      </rPr>
      <t xml:space="preserve">      </t>
    </r>
    <r>
      <rPr>
        <sz val="11"/>
        <color rgb="FF000000"/>
        <rFont val="RTA Office Light"/>
      </rPr>
      <t>Use durable materials resistant to water damage, that can withstand prolonged exposures without deteriorating.</t>
    </r>
  </si>
  <si>
    <r>
      <t>a.</t>
    </r>
    <r>
      <rPr>
        <sz val="7"/>
        <color rgb="FF000000"/>
        <rFont val="Times New Roman"/>
        <family val="1"/>
      </rPr>
      <t xml:space="preserve">       </t>
    </r>
    <r>
      <rPr>
        <sz val="11"/>
        <color rgb="FF000000"/>
        <rFont val="RTA Office Light"/>
      </rPr>
      <t>Changes in regulatory requirements and non-compliance can lead to operational restrictions.</t>
    </r>
  </si>
  <si>
    <r>
      <t>2.</t>
    </r>
    <r>
      <rPr>
        <sz val="7"/>
        <color theme="1"/>
        <rFont val="Times New Roman"/>
        <family val="1"/>
      </rPr>
      <t xml:space="preserve">       </t>
    </r>
    <r>
      <rPr>
        <sz val="11"/>
        <color rgb="FF000000"/>
        <rFont val="RTA Office Light"/>
      </rPr>
      <t>Actively engage with policy makers to stay informed.</t>
    </r>
  </si>
  <si>
    <t xml:space="preserve">1. Incorporate climate resilience into asset design and maintenance strategies to improve durability and ensure adaptability to changing environmental conditions, thereby safeguarding the infrastructure of the Guardrail. </t>
  </si>
  <si>
    <t>2. Conduct frequent inspections to identify and address damaged Guardrails promptly.</t>
  </si>
  <si>
    <r>
      <t>c.</t>
    </r>
    <r>
      <rPr>
        <sz val="7"/>
        <color theme="1"/>
        <rFont val="Times New Roman"/>
        <family val="1"/>
      </rPr>
      <t xml:space="preserve">       </t>
    </r>
    <r>
      <rPr>
        <sz val="11"/>
        <color rgb="FF000000"/>
        <rFont val="RTA Office Light"/>
      </rPr>
      <t>Indirect effect on the maintenance budget due to extra expenditure on maintenance of Guardrails.</t>
    </r>
  </si>
  <si>
    <t>2. Accidents Due to Over Speeding:</t>
  </si>
  <si>
    <r>
      <t>a.</t>
    </r>
    <r>
      <rPr>
        <sz val="7"/>
        <color theme="1"/>
        <rFont val="Times New Roman"/>
        <family val="1"/>
      </rPr>
      <t xml:space="preserve">       </t>
    </r>
    <r>
      <rPr>
        <sz val="11"/>
        <color rgb="FF000000"/>
        <rFont val="RTA Office Light"/>
      </rPr>
      <t>Increased risk of collisions with Guardrails in due to over-speeding.</t>
    </r>
  </si>
  <si>
    <r>
      <t>b.</t>
    </r>
    <r>
      <rPr>
        <sz val="7"/>
        <color theme="1"/>
        <rFont val="Times New Roman"/>
        <family val="1"/>
      </rPr>
      <t xml:space="preserve">      </t>
    </r>
    <r>
      <rPr>
        <sz val="11"/>
        <color rgb="FF000000"/>
        <rFont val="RTA Office Light"/>
      </rPr>
      <t>Secondary accidents are caused by drivers losing control after colliding with Guardrails in due to over speeding.</t>
    </r>
  </si>
  <si>
    <r>
      <t>1.</t>
    </r>
    <r>
      <rPr>
        <sz val="7"/>
        <color theme="1"/>
        <rFont val="Times New Roman"/>
        <family val="1"/>
      </rPr>
      <t xml:space="preserve">        </t>
    </r>
    <r>
      <rPr>
        <sz val="11"/>
        <color rgb="FF000000"/>
        <rFont val="RTA Office Light"/>
      </rPr>
      <t>Improve traffic flow through measures such as traffic signal optimization, lane widening, or improved signage to reduce the likelihood of collisions.</t>
    </r>
  </si>
  <si>
    <r>
      <t>2.</t>
    </r>
    <r>
      <rPr>
        <sz val="7"/>
        <color theme="1"/>
        <rFont val="Times New Roman"/>
        <family val="1"/>
      </rPr>
      <t xml:space="preserve">      </t>
    </r>
    <r>
      <rPr>
        <sz val="11"/>
        <color rgb="FF000000"/>
        <rFont val="RTA Office Light"/>
      </rPr>
      <t>Enhance visibility and awareness of Guardrails through reflective markers, lighting, or rumble strips to alert drivers to potential hazards.</t>
    </r>
  </si>
  <si>
    <r>
      <t>3.</t>
    </r>
    <r>
      <rPr>
        <sz val="7"/>
        <color theme="1"/>
        <rFont val="Times New Roman"/>
        <family val="1"/>
      </rPr>
      <t xml:space="preserve">      </t>
    </r>
    <r>
      <rPr>
        <sz val="11"/>
        <color rgb="FF000000"/>
        <rFont val="RTA Office Light"/>
      </rPr>
      <t>Speed control measures, by imposing fines and issuing speed tickets for overspending.</t>
    </r>
  </si>
  <si>
    <t>3. Vandalism or intentional damage:</t>
  </si>
  <si>
    <r>
      <t>a.</t>
    </r>
    <r>
      <rPr>
        <sz val="7"/>
        <color theme="1"/>
        <rFont val="Times New Roman"/>
        <family val="1"/>
      </rPr>
      <t xml:space="preserve">       </t>
    </r>
    <r>
      <rPr>
        <sz val="11"/>
        <color rgb="FF000000"/>
        <rFont val="RTA Office Light"/>
      </rPr>
      <t>Deliberate tampering with Guardrail components, such as loosening bolts or cutting sections, by vandals or malicious actors.</t>
    </r>
  </si>
  <si>
    <r>
      <t>b.</t>
    </r>
    <r>
      <rPr>
        <sz val="7"/>
        <color theme="1"/>
        <rFont val="Times New Roman"/>
        <family val="1"/>
      </rPr>
      <t xml:space="preserve">      </t>
    </r>
    <r>
      <rPr>
        <sz val="11"/>
        <color rgb="FF000000"/>
        <rFont val="RTA Office Light"/>
      </rPr>
      <t>Forms of defacement on Guardrail surfaces, impairing visibility and aesthetics.</t>
    </r>
  </si>
  <si>
    <r>
      <t>2.</t>
    </r>
    <r>
      <rPr>
        <sz val="7"/>
        <color theme="1"/>
        <rFont val="Times New Roman"/>
        <family val="1"/>
      </rPr>
      <t xml:space="preserve">      </t>
    </r>
    <r>
      <rPr>
        <sz val="11"/>
        <color rgb="FF000000"/>
        <rFont val="RTA Office Light"/>
      </rPr>
      <t>Implement anti-defacing coatings on Guardrails to facilitate easier clean-up and discourage future vandalism.</t>
    </r>
  </si>
  <si>
    <r>
      <t>a.</t>
    </r>
    <r>
      <rPr>
        <sz val="7"/>
        <color theme="1"/>
        <rFont val="Times New Roman"/>
        <family val="1"/>
      </rPr>
      <t xml:space="preserve">       </t>
    </r>
    <r>
      <rPr>
        <sz val="11"/>
        <color rgb="FF000000"/>
        <rFont val="RTA Office Light"/>
      </rPr>
      <t>Corrosion of Guardrail components due to exposure to chemical runoff from nearby roadways.</t>
    </r>
  </si>
  <si>
    <r>
      <t>b.</t>
    </r>
    <r>
      <rPr>
        <sz val="7"/>
        <color theme="1"/>
        <rFont val="Times New Roman"/>
        <family val="1"/>
      </rPr>
      <t xml:space="preserve">      </t>
    </r>
    <r>
      <rPr>
        <sz val="11"/>
        <color rgb="FF000000"/>
        <rFont val="RTA Office Light"/>
      </rPr>
      <t>Deterioration of Guardrail coatings or finishes, reducing resistance to corrosion and compromising aesthetics.</t>
    </r>
  </si>
  <si>
    <r>
      <t>1.</t>
    </r>
    <r>
      <rPr>
        <sz val="7"/>
        <color theme="1"/>
        <rFont val="Times New Roman"/>
        <family val="1"/>
      </rPr>
      <t xml:space="preserve">        </t>
    </r>
    <r>
      <rPr>
        <sz val="11"/>
        <color rgb="FF000000"/>
        <rFont val="RTA Office Light"/>
      </rPr>
      <t>Regularly inspect Guardrails for early signs of corrosion or deterioration.</t>
    </r>
  </si>
  <si>
    <r>
      <t>3.</t>
    </r>
    <r>
      <rPr>
        <sz val="7"/>
        <color theme="1"/>
        <rFont val="Times New Roman"/>
        <family val="1"/>
      </rPr>
      <t xml:space="preserve">      </t>
    </r>
    <r>
      <rPr>
        <sz val="11"/>
        <color rgb="FF000000"/>
        <rFont val="RTA Office Light"/>
      </rPr>
      <t>Implement protection measures to extend the service life of Guardrails.</t>
    </r>
  </si>
  <si>
    <r>
      <t>4.</t>
    </r>
    <r>
      <rPr>
        <sz val="7"/>
        <color theme="1"/>
        <rFont val="Times New Roman"/>
        <family val="1"/>
      </rPr>
      <t xml:space="preserve">      </t>
    </r>
    <r>
      <rPr>
        <sz val="11"/>
        <color rgb="FF000000"/>
        <rFont val="RTA Office Light"/>
      </rPr>
      <t>Implement corrosion protection measures such as galvanization, epoxy coatings, or sacrificial anodes to extend the service life of guardrail components.</t>
    </r>
  </si>
  <si>
    <t>RFMD Inspection and Maintenance Team, Guardrail Material Supplier and Installer and the Maintenance Contractor</t>
  </si>
  <si>
    <r>
      <t>a.</t>
    </r>
    <r>
      <rPr>
        <sz val="7"/>
        <color theme="1"/>
        <rFont val="Times New Roman"/>
        <family val="1"/>
      </rPr>
      <t xml:space="preserve">       </t>
    </r>
    <r>
      <rPr>
        <sz val="11"/>
        <color rgb="FF000000"/>
        <rFont val="RTA Office Light"/>
      </rPr>
      <t>Guardrail installations not meeting required standards, resulting in inadequate protection.</t>
    </r>
  </si>
  <si>
    <r>
      <t>b.</t>
    </r>
    <r>
      <rPr>
        <sz val="7"/>
        <color theme="1"/>
        <rFont val="Times New Roman"/>
        <family val="1"/>
      </rPr>
      <t xml:space="preserve">      </t>
    </r>
    <r>
      <rPr>
        <sz val="11"/>
        <color rgb="FF000000"/>
        <rFont val="RTA Office Light"/>
      </rPr>
      <t>Poor alignment or spacing of Guardrail sections, increasing the risk of vehicle penetration or entrapment.</t>
    </r>
  </si>
  <si>
    <r>
      <t>1.</t>
    </r>
    <r>
      <rPr>
        <sz val="7"/>
        <color theme="1"/>
        <rFont val="Times New Roman"/>
        <family val="1"/>
      </rPr>
      <t xml:space="preserve">        </t>
    </r>
    <r>
      <rPr>
        <sz val="11"/>
        <color rgb="FF000000"/>
        <rFont val="RTA Office Light"/>
      </rPr>
      <t>Ensure compliance with relevant design standards and crash testing requirements during the planning and installation phases of guardrail projects.</t>
    </r>
  </si>
  <si>
    <r>
      <t>2.</t>
    </r>
    <r>
      <rPr>
        <sz val="7"/>
        <color theme="1"/>
        <rFont val="Times New Roman"/>
        <family val="1"/>
      </rPr>
      <t xml:space="preserve">      </t>
    </r>
    <r>
      <rPr>
        <sz val="11"/>
        <color rgb="FF000000"/>
        <rFont val="RTA Office Light"/>
      </rPr>
      <t>Conduct thorough site assessments to identify potential hazards and optimize guardrail placement and geometry to maximize effectiveness in redirecting errant vehicles.</t>
    </r>
  </si>
  <si>
    <r>
      <t>a.</t>
    </r>
    <r>
      <rPr>
        <sz val="7"/>
        <color theme="1"/>
        <rFont val="Times New Roman"/>
        <family val="1"/>
      </rPr>
      <t xml:space="preserve">       </t>
    </r>
    <r>
      <rPr>
        <sz val="11"/>
        <color rgb="FF000000"/>
        <rFont val="RTA Office Light"/>
      </rPr>
      <t>Lack of routine inspections leading to undetected defects or deterioration in Guardrail components.</t>
    </r>
  </si>
  <si>
    <r>
      <t>b.</t>
    </r>
    <r>
      <rPr>
        <sz val="7"/>
        <color theme="1"/>
        <rFont val="Times New Roman"/>
        <family val="1"/>
      </rPr>
      <t xml:space="preserve">      </t>
    </r>
    <r>
      <rPr>
        <sz val="11"/>
        <color rgb="FF000000"/>
        <rFont val="RTA Office Light"/>
      </rPr>
      <t>Inadequate maintenance practices resulting in missed opportunities to address minor issues before they escalate into major failures potentially leading to premature failure of assets.</t>
    </r>
  </si>
  <si>
    <t>1. Develop a comprehensive inspection schedule based on risk assessments and asset condition data, incorporating visual inspections, structural evaluations, and non-destructive testing techniques.</t>
  </si>
  <si>
    <t>2. Establish a proactive maintenance program focused on preventive measures such as cleaning, painting, and tightening fasteners to mitigate corrosion and prolong guardrail lifespan.</t>
  </si>
  <si>
    <r>
      <t>a.</t>
    </r>
    <r>
      <rPr>
        <sz val="7"/>
        <color theme="1"/>
        <rFont val="Times New Roman"/>
        <family val="1"/>
      </rPr>
      <t xml:space="preserve">       </t>
    </r>
    <r>
      <rPr>
        <sz val="11"/>
        <color rgb="FF000000"/>
        <rFont val="RTA Office Light"/>
      </rPr>
      <t>Delays in responding to reported Guardrail damages due to ineffective communication or resource allocation.</t>
    </r>
  </si>
  <si>
    <r>
      <t>b.</t>
    </r>
    <r>
      <rPr>
        <sz val="7"/>
        <color theme="1"/>
        <rFont val="Times New Roman"/>
        <family val="1"/>
      </rPr>
      <t xml:space="preserve">      </t>
    </r>
    <r>
      <rPr>
        <sz val="11"/>
        <color rgb="FF000000"/>
        <rFont val="RTA Office Light"/>
      </rPr>
      <t>Lack of standardized procedures or protocols for assessing and prioritizing Guardrail repairs, leading to inconsistent outcomes.</t>
    </r>
  </si>
  <si>
    <r>
      <t>1.</t>
    </r>
    <r>
      <rPr>
        <sz val="7"/>
        <color theme="1"/>
        <rFont val="Times New Roman"/>
        <family val="1"/>
      </rPr>
      <t xml:space="preserve">        </t>
    </r>
    <r>
      <rPr>
        <sz val="11"/>
        <color rgb="FF000000"/>
        <rFont val="RTA Office Light"/>
      </rPr>
      <t>Implement a centralized reporting system for documenting and tracking Guardrail damage reports, streamlining communication and ensuring timely responses.</t>
    </r>
  </si>
  <si>
    <r>
      <t>a.</t>
    </r>
    <r>
      <rPr>
        <sz val="7"/>
        <color theme="1"/>
        <rFont val="Times New Roman"/>
        <family val="1"/>
      </rPr>
      <t xml:space="preserve">       </t>
    </r>
    <r>
      <rPr>
        <sz val="11"/>
        <color rgb="FF000000"/>
        <rFont val="RTA Office Light"/>
      </rPr>
      <t>Insufficient training for maintenance personnel in identifying, assessing, and repairing Guardrail defects or damage.</t>
    </r>
  </si>
  <si>
    <r>
      <t>1.</t>
    </r>
    <r>
      <rPr>
        <sz val="7"/>
        <color theme="1"/>
        <rFont val="Times New Roman"/>
        <family val="1"/>
      </rPr>
      <t xml:space="preserve">        </t>
    </r>
    <r>
      <rPr>
        <sz val="11"/>
        <color rgb="FF000000"/>
        <rFont val="RTA Office Light"/>
      </rPr>
      <t>Develop a comprehensive training program covering Guardrail inspection techniques, repair procedures, safety protocols, and equipment operation.</t>
    </r>
  </si>
  <si>
    <r>
      <t>a.</t>
    </r>
    <r>
      <rPr>
        <sz val="7"/>
        <color theme="1"/>
        <rFont val="Times New Roman"/>
        <family val="1"/>
      </rPr>
      <t xml:space="preserve">       </t>
    </r>
    <r>
      <rPr>
        <sz val="11"/>
        <color rgb="FF000000"/>
        <rFont val="RTA Office Light"/>
      </rPr>
      <t>Limited funding for Guardrail maintenance and repair activities, resulting in deferred maintenance and increased asset deterioration.</t>
    </r>
  </si>
  <si>
    <r>
      <t>b.</t>
    </r>
    <r>
      <rPr>
        <sz val="7"/>
        <color theme="1"/>
        <rFont val="Times New Roman"/>
        <family val="1"/>
      </rPr>
      <t xml:space="preserve">      </t>
    </r>
    <r>
      <rPr>
        <sz val="11"/>
        <color rgb="FF000000"/>
        <rFont val="RTA Office Light"/>
      </rPr>
      <t>Inability to invest in technological advancements or innovative solutions to improve Guardrail performance and longevity.</t>
    </r>
  </si>
  <si>
    <r>
      <t>1.</t>
    </r>
    <r>
      <rPr>
        <sz val="7"/>
        <color theme="1"/>
        <rFont val="Times New Roman"/>
        <family val="1"/>
      </rPr>
      <t xml:space="preserve">        </t>
    </r>
    <r>
      <rPr>
        <sz val="11"/>
        <color rgb="FF000000"/>
        <rFont val="RTA Office Light"/>
      </rPr>
      <t>Advocate for dedicated funding allocations for Guardrail maintenance and repair as part of the annual budgeting process, highlighting the importance of preserving critical infrastructure assets and ensuring public safety.</t>
    </r>
  </si>
  <si>
    <r>
      <t>a.</t>
    </r>
    <r>
      <rPr>
        <sz val="7"/>
        <color rgb="FF000000"/>
        <rFont val="Times New Roman"/>
        <family val="1"/>
      </rPr>
      <t xml:space="preserve">       </t>
    </r>
    <r>
      <rPr>
        <sz val="11"/>
        <color rgb="FF000000"/>
        <rFont val="RTA Office Light"/>
      </rPr>
      <t>Sandstorms cause abrasion and erosion of Barrier surface, causing deteriorations</t>
    </r>
  </si>
  <si>
    <r>
      <t>1.</t>
    </r>
    <r>
      <rPr>
        <sz val="7"/>
        <color theme="1"/>
        <rFont val="Times New Roman"/>
        <family val="1"/>
      </rPr>
      <t xml:space="preserve">       </t>
    </r>
    <r>
      <rPr>
        <sz val="11"/>
        <color rgb="FF000000"/>
        <rFont val="RTA Office Light"/>
      </rPr>
      <t>Implement regular inspections following extreme weather events to assess Barrier integrity and address any damage promptly.</t>
    </r>
  </si>
  <si>
    <r>
      <t>a.</t>
    </r>
    <r>
      <rPr>
        <sz val="7"/>
        <color theme="1"/>
        <rFont val="Times New Roman"/>
        <family val="1"/>
      </rPr>
      <t xml:space="preserve">       </t>
    </r>
    <r>
      <rPr>
        <sz val="11"/>
        <color rgb="FF000000"/>
        <rFont val="RTA Office Light"/>
      </rPr>
      <t>Heavy rainfall can result in flooding, which can damage the Barrier, causing erosion, deterioration and compromising safety.</t>
    </r>
  </si>
  <si>
    <t xml:space="preserve">1. Incorporate climate resilience into asset design and maintenance strategies to improve durability and ensure adaptability to changing environmental conditions, thereby safeguarding the infrastructure of the Barrier. </t>
  </si>
  <si>
    <r>
      <t>2.</t>
    </r>
    <r>
      <rPr>
        <sz val="7"/>
        <color theme="1"/>
        <rFont val="Times New Roman"/>
        <family val="1"/>
      </rPr>
      <t xml:space="preserve">       </t>
    </r>
    <r>
      <rPr>
        <sz val="11"/>
        <color rgb="FF000000"/>
        <rFont val="RTA Office Light"/>
      </rPr>
      <t>Conduct frequent inspections to identify and address damaged Barriers promptly.</t>
    </r>
  </si>
  <si>
    <r>
      <t>c.</t>
    </r>
    <r>
      <rPr>
        <sz val="7"/>
        <color theme="1"/>
        <rFont val="Times New Roman"/>
        <family val="1"/>
      </rPr>
      <t xml:space="preserve">       </t>
    </r>
    <r>
      <rPr>
        <sz val="11"/>
        <color rgb="FF000000"/>
        <rFont val="RTA Office Light"/>
      </rPr>
      <t>Indirect effect on the maintenance budget due to extra expenditure on maintenance of Barriers.</t>
    </r>
  </si>
  <si>
    <r>
      <t>a.</t>
    </r>
    <r>
      <rPr>
        <sz val="7"/>
        <color theme="1"/>
        <rFont val="Times New Roman"/>
        <family val="1"/>
      </rPr>
      <t xml:space="preserve">       </t>
    </r>
    <r>
      <rPr>
        <sz val="11"/>
        <color rgb="FF000000"/>
        <rFont val="RTA Office Light"/>
      </rPr>
      <t>Increased risk of collisions with Barriers due to over-speeding.</t>
    </r>
  </si>
  <si>
    <r>
      <t>b.</t>
    </r>
    <r>
      <rPr>
        <sz val="7"/>
        <color theme="1"/>
        <rFont val="Times New Roman"/>
        <family val="1"/>
      </rPr>
      <t xml:space="preserve">      </t>
    </r>
    <r>
      <rPr>
        <sz val="11"/>
        <color rgb="FF000000"/>
        <rFont val="RTA Office Light"/>
      </rPr>
      <t>Secondary accidents are caused by drivers losing control after colliding with Barriers due to high speed.</t>
    </r>
  </si>
  <si>
    <r>
      <t>2.</t>
    </r>
    <r>
      <rPr>
        <sz val="7"/>
        <color theme="1"/>
        <rFont val="Times New Roman"/>
        <family val="1"/>
      </rPr>
      <t xml:space="preserve">      </t>
    </r>
    <r>
      <rPr>
        <sz val="11"/>
        <color rgb="FF000000"/>
        <rFont val="RTA Office Light"/>
      </rPr>
      <t>Enhance visibility and awareness of Barriers through reflective markers, road signs and lighting to alert drivers to potential hazards.</t>
    </r>
  </si>
  <si>
    <r>
      <t>a.</t>
    </r>
    <r>
      <rPr>
        <sz val="7"/>
        <color theme="1"/>
        <rFont val="Times New Roman"/>
        <family val="1"/>
      </rPr>
      <t xml:space="preserve">       </t>
    </r>
    <r>
      <rPr>
        <sz val="11"/>
        <color rgb="FF000000"/>
        <rFont val="RTA Office Light"/>
      </rPr>
      <t>Deliberate tampering with Barrier by vandals or malicious actors.</t>
    </r>
  </si>
  <si>
    <r>
      <t>b.</t>
    </r>
    <r>
      <rPr>
        <sz val="7"/>
        <color theme="1"/>
        <rFont val="Times New Roman"/>
        <family val="1"/>
      </rPr>
      <t xml:space="preserve">      </t>
    </r>
    <r>
      <rPr>
        <sz val="11"/>
        <color rgb="FF000000"/>
        <rFont val="RTA Office Light"/>
      </rPr>
      <t>Forms of defacement on Barrier surfaces, impairing visibility and aesthetics.</t>
    </r>
  </si>
  <si>
    <r>
      <t>2.</t>
    </r>
    <r>
      <rPr>
        <sz val="7"/>
        <color theme="1"/>
        <rFont val="Times New Roman"/>
        <family val="1"/>
      </rPr>
      <t xml:space="preserve">      </t>
    </r>
    <r>
      <rPr>
        <sz val="11"/>
        <color rgb="FF000000"/>
        <rFont val="RTA Office Light"/>
      </rPr>
      <t>Implement anti-defacing coatings on Barriers to facilitate easier clean-up and discourage future vandalism.</t>
    </r>
  </si>
  <si>
    <t>a. Over time, materials used in Barriers can degrade, leading to cracks, deteriorations, compromising the overall structural integrity of the Barrier.</t>
  </si>
  <si>
    <r>
      <t>1.</t>
    </r>
    <r>
      <rPr>
        <sz val="7"/>
        <color theme="1"/>
        <rFont val="Times New Roman"/>
        <family val="1"/>
      </rPr>
      <t xml:space="preserve">        </t>
    </r>
    <r>
      <rPr>
        <sz val="11"/>
        <color rgb="FF000000"/>
        <rFont val="RTA Office Light"/>
      </rPr>
      <t>Regularly inspect Barriers to identify early signs of deterioration.</t>
    </r>
  </si>
  <si>
    <r>
      <t>3.</t>
    </r>
    <r>
      <rPr>
        <sz val="7"/>
        <color theme="1"/>
        <rFont val="Times New Roman"/>
        <family val="1"/>
      </rPr>
      <t xml:space="preserve">      </t>
    </r>
    <r>
      <rPr>
        <sz val="11"/>
        <color rgb="FF000000"/>
        <rFont val="RTA Office Light"/>
      </rPr>
      <t>Implement protection measures to extend the service life of Barrier components.</t>
    </r>
  </si>
  <si>
    <t>RFMD Inspection and Maintenance Team, Barrier Material Supplier and Installer and the Maintenance Contractor</t>
  </si>
  <si>
    <r>
      <t>a.</t>
    </r>
    <r>
      <rPr>
        <sz val="7"/>
        <color theme="1"/>
        <rFont val="Times New Roman"/>
        <family val="1"/>
      </rPr>
      <t xml:space="preserve">       </t>
    </r>
    <r>
      <rPr>
        <sz val="11"/>
        <color rgb="FF000000"/>
        <rFont val="RTA Office Light"/>
      </rPr>
      <t>Barrier installations not meeting required standards may pose collision risks to vehicles, cyclists, and pedestrians, especially in low-visibility conditions.</t>
    </r>
  </si>
  <si>
    <r>
      <t>1.</t>
    </r>
    <r>
      <rPr>
        <sz val="7"/>
        <color theme="1"/>
        <rFont val="Times New Roman"/>
        <family val="1"/>
      </rPr>
      <t xml:space="preserve">        </t>
    </r>
    <r>
      <rPr>
        <sz val="11"/>
        <color rgb="FF000000"/>
        <rFont val="RTA Office Light"/>
      </rPr>
      <t>Ensure compliance with relevant design standards and requirements during the planning and installation phases of Barrier projects.</t>
    </r>
  </si>
  <si>
    <r>
      <t>2.</t>
    </r>
    <r>
      <rPr>
        <sz val="7"/>
        <color theme="1"/>
        <rFont val="Times New Roman"/>
        <family val="1"/>
      </rPr>
      <t xml:space="preserve">      </t>
    </r>
    <r>
      <rPr>
        <sz val="11"/>
        <color rgb="FF000000"/>
        <rFont val="RTA Office Light"/>
      </rPr>
      <t xml:space="preserve">Conduct thorough site assessments to identify potential hazards and optimize Barrier placement. </t>
    </r>
  </si>
  <si>
    <r>
      <t>a.</t>
    </r>
    <r>
      <rPr>
        <sz val="7"/>
        <color theme="1"/>
        <rFont val="Times New Roman"/>
        <family val="1"/>
      </rPr>
      <t xml:space="preserve">       </t>
    </r>
    <r>
      <rPr>
        <sz val="11"/>
        <color rgb="FF000000"/>
        <rFont val="RTA Office Light"/>
      </rPr>
      <t>Poorly placed Barriers in residential areas can obstruct the path of individuals with mobility impairments, creating accessibility barriers.</t>
    </r>
  </si>
  <si>
    <r>
      <t>1.</t>
    </r>
    <r>
      <rPr>
        <sz val="7"/>
        <color theme="1"/>
        <rFont val="Times New Roman"/>
        <family val="1"/>
      </rPr>
      <t xml:space="preserve">        </t>
    </r>
    <r>
      <rPr>
        <sz val="11"/>
        <color rgb="FF000000"/>
        <rFont val="RTA Office Light"/>
      </rPr>
      <t>Ensure Barriers are placed in locations that do not obstruct accessible pathways.</t>
    </r>
  </si>
  <si>
    <r>
      <t>a.</t>
    </r>
    <r>
      <rPr>
        <sz val="7"/>
        <color theme="1"/>
        <rFont val="Times New Roman"/>
        <family val="1"/>
      </rPr>
      <t xml:space="preserve">       </t>
    </r>
    <r>
      <rPr>
        <sz val="11"/>
        <color rgb="FF000000"/>
        <rFont val="RTA Office Light"/>
      </rPr>
      <t>Lack of routine inspections leading to undetected defects or deterioration in Barrier components.</t>
    </r>
  </si>
  <si>
    <t>2. Establish a proactive maintenance program focused on preventive measures such as cleaning and painting, to prolong Barrier lifespan.</t>
  </si>
  <si>
    <r>
      <t>a.</t>
    </r>
    <r>
      <rPr>
        <sz val="7"/>
        <color theme="1"/>
        <rFont val="Times New Roman"/>
        <family val="1"/>
      </rPr>
      <t xml:space="preserve">       </t>
    </r>
    <r>
      <rPr>
        <sz val="11"/>
        <color rgb="FF000000"/>
        <rFont val="RTA Office Light"/>
      </rPr>
      <t>Delays in responding to reported Barrier damages due to ineffective communication or resource allocation.</t>
    </r>
  </si>
  <si>
    <r>
      <t>b.</t>
    </r>
    <r>
      <rPr>
        <sz val="7"/>
        <color theme="1"/>
        <rFont val="Times New Roman"/>
        <family val="1"/>
      </rPr>
      <t xml:space="preserve">      </t>
    </r>
    <r>
      <rPr>
        <sz val="11"/>
        <color rgb="FF000000"/>
        <rFont val="RTA Office Light"/>
      </rPr>
      <t>Lack of standardized procedures or protocols for assessing and prioritizing Barrier repairs, leading to inconsistent outcomes.</t>
    </r>
  </si>
  <si>
    <r>
      <t>1.</t>
    </r>
    <r>
      <rPr>
        <sz val="7"/>
        <color theme="1"/>
        <rFont val="Times New Roman"/>
        <family val="1"/>
      </rPr>
      <t xml:space="preserve">        </t>
    </r>
    <r>
      <rPr>
        <sz val="11"/>
        <color rgb="FF000000"/>
        <rFont val="RTA Office Light"/>
      </rPr>
      <t>Implement a centralized reporting system for documenting and tracking Barrier damage reports, streamlining communication and ensuring timely responses.</t>
    </r>
  </si>
  <si>
    <r>
      <t>a.</t>
    </r>
    <r>
      <rPr>
        <sz val="7"/>
        <color theme="1"/>
        <rFont val="Times New Roman"/>
        <family val="1"/>
      </rPr>
      <t xml:space="preserve">       </t>
    </r>
    <r>
      <rPr>
        <sz val="11"/>
        <color rgb="FF000000"/>
        <rFont val="RTA Office Light"/>
      </rPr>
      <t>Insufficient training for maintenance personnel in identifying, assessing, and repairing Barrier defects or damage.</t>
    </r>
  </si>
  <si>
    <r>
      <t>1.</t>
    </r>
    <r>
      <rPr>
        <sz val="7"/>
        <color theme="1"/>
        <rFont val="Times New Roman"/>
        <family val="1"/>
      </rPr>
      <t xml:space="preserve">        </t>
    </r>
    <r>
      <rPr>
        <sz val="11"/>
        <color rgb="FF000000"/>
        <rFont val="RTA Office Light"/>
      </rPr>
      <t>Develop a comprehensive training program covering Barrier inspection techniques, repair procedures, safety protocols, and equipment operation.</t>
    </r>
  </si>
  <si>
    <r>
      <t>a.</t>
    </r>
    <r>
      <rPr>
        <sz val="7"/>
        <color theme="1"/>
        <rFont val="Times New Roman"/>
        <family val="1"/>
      </rPr>
      <t xml:space="preserve">       </t>
    </r>
    <r>
      <rPr>
        <sz val="11"/>
        <color rgb="FF000000"/>
        <rFont val="RTA Office Light"/>
      </rPr>
      <t>Limited funding for Barrier maintenance and repair activities, resulting in deferred maintenance and increased asset deterioration.</t>
    </r>
  </si>
  <si>
    <r>
      <t>b.</t>
    </r>
    <r>
      <rPr>
        <sz val="7"/>
        <color theme="1"/>
        <rFont val="Times New Roman"/>
        <family val="1"/>
      </rPr>
      <t xml:space="preserve">      </t>
    </r>
    <r>
      <rPr>
        <sz val="11"/>
        <color rgb="FF000000"/>
        <rFont val="RTA Office Light"/>
      </rPr>
      <t>Inability to invest in technological advancements or innovative solutions to improve Barrier performance and longevity.</t>
    </r>
  </si>
  <si>
    <r>
      <t>1.</t>
    </r>
    <r>
      <rPr>
        <sz val="7"/>
        <color theme="1"/>
        <rFont val="Times New Roman"/>
        <family val="1"/>
      </rPr>
      <t xml:space="preserve">        </t>
    </r>
    <r>
      <rPr>
        <sz val="11"/>
        <color rgb="FF000000"/>
        <rFont val="RTA Office Light"/>
      </rPr>
      <t>Advocate for dedicated funding allocations for Barrier maintenance and repair as part of the annual budgeting process, highlighting the importance of preserving critical infrastructure assets and ensuring public safety.</t>
    </r>
  </si>
  <si>
    <r>
      <t>a.</t>
    </r>
    <r>
      <rPr>
        <sz val="7"/>
        <color theme="1"/>
        <rFont val="Times New Roman"/>
        <family val="1"/>
      </rPr>
      <t xml:space="preserve">       </t>
    </r>
    <r>
      <rPr>
        <sz val="11"/>
        <color rgb="FF000000"/>
        <rFont val="RTA Office Light"/>
      </rPr>
      <t>Sandstorms cause abrasion and erosion of Traffic Signal surfaces, causing paint deteriorations such as chipped or peeled paint and rusting.</t>
    </r>
  </si>
  <si>
    <r>
      <t>1.</t>
    </r>
    <r>
      <rPr>
        <sz val="7"/>
        <color theme="1"/>
        <rFont val="Times New Roman"/>
        <family val="1"/>
      </rPr>
      <t xml:space="preserve">       </t>
    </r>
    <r>
      <rPr>
        <sz val="11"/>
        <color rgb="FF000000"/>
        <rFont val="RTA Office Light"/>
      </rPr>
      <t>Implement regular inspections following extreme weather events to assess Traffic Signal integrity and address any damage promptly.</t>
    </r>
  </si>
  <si>
    <r>
      <t>4.</t>
    </r>
    <r>
      <rPr>
        <sz val="7"/>
        <color theme="1"/>
        <rFont val="Times New Roman"/>
        <family val="1"/>
      </rPr>
      <t xml:space="preserve">       </t>
    </r>
    <r>
      <rPr>
        <sz val="11"/>
        <color rgb="FF000000"/>
        <rFont val="RTA Office Light"/>
      </rPr>
      <t>Implement protection measures, such as using protective coatings, to reduce erosion and extend the service life of the Traffic Signal.</t>
    </r>
  </si>
  <si>
    <r>
      <t>b.</t>
    </r>
    <r>
      <rPr>
        <sz val="7"/>
        <color theme="1"/>
        <rFont val="Times New Roman"/>
        <family val="1"/>
      </rPr>
      <t xml:space="preserve">      </t>
    </r>
    <r>
      <rPr>
        <sz val="11"/>
        <color rgb="FF000000"/>
        <rFont val="RTA Office Light"/>
      </rPr>
      <t>Heavy rainfall can result in flooding, which can damage Traffic Signal, causing erosion, deterioration, rusting, and severe damage of electrical components.</t>
    </r>
  </si>
  <si>
    <t xml:space="preserve">1. Incorporate climate resilience into asset design and maintenance strategies to improve durability and ensure adaptability to changing environmental conditions, thereby safeguarding the infrastructure of the Traffic Signal. </t>
  </si>
  <si>
    <r>
      <t>2.</t>
    </r>
    <r>
      <rPr>
        <sz val="7"/>
        <color theme="1"/>
        <rFont val="Times New Roman"/>
        <family val="1"/>
      </rPr>
      <t xml:space="preserve">      </t>
    </r>
    <r>
      <rPr>
        <sz val="11"/>
        <color rgb="FF000000"/>
        <rFont val="RTA Office Light"/>
      </rPr>
      <t>Conduct frequent inspections to identify and address damaged Traffic Signal promptly.</t>
    </r>
  </si>
  <si>
    <r>
      <t>c.</t>
    </r>
    <r>
      <rPr>
        <sz val="7"/>
        <color theme="1"/>
        <rFont val="Times New Roman"/>
        <family val="1"/>
      </rPr>
      <t xml:space="preserve">       </t>
    </r>
    <r>
      <rPr>
        <sz val="11"/>
        <color rgb="FF000000"/>
        <rFont val="RTA Office Light"/>
      </rPr>
      <t>Indirect effect on the maintenance budget due to extra expenditure on maintenance of Traffic Signal.</t>
    </r>
  </si>
  <si>
    <r>
      <t>b.</t>
    </r>
    <r>
      <rPr>
        <sz val="7"/>
        <color theme="1"/>
        <rFont val="Times New Roman"/>
        <family val="1"/>
      </rPr>
      <t xml:space="preserve">      </t>
    </r>
    <r>
      <rPr>
        <sz val="11"/>
        <color rgb="FF000000"/>
        <rFont val="RTA Office Light"/>
      </rPr>
      <t>Increased risk of collisions with Traffic Signal due to over-speeding.</t>
    </r>
  </si>
  <si>
    <r>
      <t>c.</t>
    </r>
    <r>
      <rPr>
        <sz val="7"/>
        <color theme="1"/>
        <rFont val="Times New Roman"/>
        <family val="1"/>
      </rPr>
      <t xml:space="preserve">       </t>
    </r>
    <r>
      <rPr>
        <sz val="11"/>
        <color rgb="FF000000"/>
        <rFont val="RTA Office Light"/>
      </rPr>
      <t>Secondary accidents are caused by drivers losing control after colliding with Traffic Signal due to high speed.</t>
    </r>
  </si>
  <si>
    <r>
      <t>1.</t>
    </r>
    <r>
      <rPr>
        <sz val="7"/>
        <color theme="1"/>
        <rFont val="Times New Roman"/>
        <family val="1"/>
      </rPr>
      <t xml:space="preserve">        </t>
    </r>
    <r>
      <rPr>
        <sz val="11"/>
        <color rgb="FF000000"/>
        <rFont val="RTA Office Light"/>
      </rPr>
      <t>Speed control measures, by imposing fines and issuing speed tickets for over speeding.</t>
    </r>
  </si>
  <si>
    <r>
      <t>2.</t>
    </r>
    <r>
      <rPr>
        <sz val="7"/>
        <color theme="1"/>
        <rFont val="Times New Roman"/>
        <family val="1"/>
      </rPr>
      <t xml:space="preserve">      </t>
    </r>
    <r>
      <rPr>
        <sz val="11"/>
        <color rgb="FF000000"/>
        <rFont val="RTA Office Light"/>
      </rPr>
      <t>Use reinforced signal poles to prevent easy damage.</t>
    </r>
  </si>
  <si>
    <r>
      <t>3.</t>
    </r>
    <r>
      <rPr>
        <sz val="7"/>
        <color theme="1"/>
        <rFont val="Times New Roman"/>
        <family val="1"/>
      </rPr>
      <t xml:space="preserve">      </t>
    </r>
    <r>
      <rPr>
        <sz val="11"/>
        <color rgb="FF000000"/>
        <rFont val="RTA Office Light"/>
      </rPr>
      <t>Install collision detection and warning systems.</t>
    </r>
  </si>
  <si>
    <r>
      <t>4.</t>
    </r>
    <r>
      <rPr>
        <sz val="7"/>
        <color theme="1"/>
        <rFont val="Times New Roman"/>
        <family val="1"/>
      </rPr>
      <t xml:space="preserve">      </t>
    </r>
    <r>
      <rPr>
        <sz val="11"/>
        <color rgb="FF000000"/>
        <rFont val="RTA Office Light"/>
      </rPr>
      <t>Implement clear signage around intersections</t>
    </r>
  </si>
  <si>
    <r>
      <t>a.</t>
    </r>
    <r>
      <rPr>
        <sz val="7"/>
        <color theme="1"/>
        <rFont val="Times New Roman"/>
        <family val="1"/>
      </rPr>
      <t xml:space="preserve">       </t>
    </r>
    <r>
      <rPr>
        <sz val="11"/>
        <color rgb="FF000000"/>
        <rFont val="RTA Office Light"/>
      </rPr>
      <t>Deliberate tampering with Traffic Signal by vandals or malicious actors.</t>
    </r>
  </si>
  <si>
    <r>
      <t>b.</t>
    </r>
    <r>
      <rPr>
        <sz val="7"/>
        <color theme="1"/>
        <rFont val="Times New Roman"/>
        <family val="1"/>
      </rPr>
      <t xml:space="preserve">      </t>
    </r>
    <r>
      <rPr>
        <sz val="11"/>
        <color rgb="FF000000"/>
        <rFont val="RTA Office Light"/>
      </rPr>
      <t>Forms of defacement on Traffic Signal surfaces, impairing aesthetics.</t>
    </r>
  </si>
  <si>
    <r>
      <t>2.</t>
    </r>
    <r>
      <rPr>
        <sz val="7"/>
        <color theme="1"/>
        <rFont val="Times New Roman"/>
        <family val="1"/>
      </rPr>
      <t xml:space="preserve">      </t>
    </r>
    <r>
      <rPr>
        <sz val="11"/>
        <color rgb="FF000000"/>
        <rFont val="RTA Office Light"/>
      </rPr>
      <t>Implement anti-defacing coatings on Traffic Signal to facilitate easier clean-up and discourage future vandalism.</t>
    </r>
  </si>
  <si>
    <r>
      <t>a.</t>
    </r>
    <r>
      <rPr>
        <sz val="7"/>
        <color theme="1"/>
        <rFont val="Times New Roman"/>
        <family val="1"/>
      </rPr>
      <t xml:space="preserve">       </t>
    </r>
    <r>
      <rPr>
        <sz val="11"/>
        <color rgb="FF000000"/>
        <rFont val="RTA Office Light"/>
      </rPr>
      <t>Over time, materials and electrical components used in Traffic Signal can degrade, leading to deteriorations of Traffic Signal coatings or finishes, reducing resistance to corrosion, compromising aesthetics and the overall structural and functional integrity of the Traffic Signal.</t>
    </r>
  </si>
  <si>
    <r>
      <t>1.</t>
    </r>
    <r>
      <rPr>
        <sz val="7"/>
        <color theme="1"/>
        <rFont val="Times New Roman"/>
        <family val="1"/>
      </rPr>
      <t xml:space="preserve">        </t>
    </r>
    <r>
      <rPr>
        <sz val="11"/>
        <color rgb="FF000000"/>
        <rFont val="RTA Office Light"/>
      </rPr>
      <t>Regularly inspect Traffic Signal to identify early signs of deterioration.</t>
    </r>
  </si>
  <si>
    <r>
      <t>3.</t>
    </r>
    <r>
      <rPr>
        <sz val="7"/>
        <color theme="1"/>
        <rFont val="Times New Roman"/>
        <family val="1"/>
      </rPr>
      <t xml:space="preserve">      </t>
    </r>
    <r>
      <rPr>
        <sz val="11"/>
        <color rgb="FF000000"/>
        <rFont val="RTA Office Light"/>
      </rPr>
      <t>Implement protection measures to extend the service life of Traffic Signal components.</t>
    </r>
  </si>
  <si>
    <t>RFMD Inspection and Maintenance Team, Traffic Signal Material Supplier and Installer and the Maintenance Contractor</t>
  </si>
  <si>
    <t>2. Signal Light Malfunction or Failure</t>
  </si>
  <si>
    <r>
      <t>a.</t>
    </r>
    <r>
      <rPr>
        <sz val="7"/>
        <color theme="1"/>
        <rFont val="Times New Roman"/>
        <family val="1"/>
      </rPr>
      <t xml:space="preserve">       </t>
    </r>
    <r>
      <rPr>
        <sz val="11"/>
        <color rgb="FF000000"/>
        <rFont val="RTA Office Light"/>
      </rPr>
      <t>Malfunctioning traffic signal lights or conflicting signal lights may lead to accidents.</t>
    </r>
  </si>
  <si>
    <t xml:space="preserve"> </t>
  </si>
  <si>
    <r>
      <t>1.</t>
    </r>
    <r>
      <rPr>
        <sz val="7"/>
        <color theme="1"/>
        <rFont val="Times New Roman"/>
        <family val="1"/>
      </rPr>
      <t xml:space="preserve">        </t>
    </r>
    <r>
      <rPr>
        <sz val="11"/>
        <color rgb="FF000000"/>
        <rFont val="RTA Office Light"/>
      </rPr>
      <t xml:space="preserve">Regularly inspect and test signals for faults </t>
    </r>
  </si>
  <si>
    <r>
      <t>2.</t>
    </r>
    <r>
      <rPr>
        <sz val="7"/>
        <color theme="1"/>
        <rFont val="Times New Roman"/>
        <family val="1"/>
      </rPr>
      <t xml:space="preserve">      </t>
    </r>
    <r>
      <rPr>
        <sz val="11"/>
        <color rgb="FF000000"/>
        <rFont val="RTA Office Light"/>
      </rPr>
      <t xml:space="preserve">Implement automatic signal diagnostics </t>
    </r>
  </si>
  <si>
    <r>
      <t>3.</t>
    </r>
    <r>
      <rPr>
        <sz val="7"/>
        <color theme="1"/>
        <rFont val="Times New Roman"/>
        <family val="1"/>
      </rPr>
      <t xml:space="preserve">      </t>
    </r>
    <r>
      <rPr>
        <sz val="11"/>
        <color rgb="FF000000"/>
        <rFont val="RTA Office Light"/>
      </rPr>
      <t>Build in backup systems (e.g., redundant power supplies)</t>
    </r>
  </si>
  <si>
    <t>3. Inadequate Design or Installation</t>
  </si>
  <si>
    <r>
      <t>a.</t>
    </r>
    <r>
      <rPr>
        <sz val="7"/>
        <color theme="1"/>
        <rFont val="Times New Roman"/>
        <family val="1"/>
      </rPr>
      <t xml:space="preserve">       </t>
    </r>
    <r>
      <rPr>
        <sz val="11"/>
        <color rgb="FF000000"/>
        <rFont val="RTA Office Light"/>
      </rPr>
      <t>Traffic Signal installations not meeting required standards may pose collision risks to vehicles, cyclists, and pedestrians, especially in low-visibility conditions.</t>
    </r>
  </si>
  <si>
    <r>
      <t>b.</t>
    </r>
    <r>
      <rPr>
        <sz val="7"/>
        <color theme="1"/>
        <rFont val="Times New Roman"/>
        <family val="1"/>
      </rPr>
      <t xml:space="preserve">      </t>
    </r>
    <r>
      <rPr>
        <sz val="11"/>
        <color rgb="FF000000"/>
        <rFont val="RTA Office Light"/>
      </rPr>
      <t>Electrical failures in a. Traffic Signal can result from power surges, faulty wiring or component failures, leading to light outage and reduced safety.</t>
    </r>
  </si>
  <si>
    <r>
      <t>1.</t>
    </r>
    <r>
      <rPr>
        <sz val="7"/>
        <color theme="1"/>
        <rFont val="Times New Roman"/>
        <family val="1"/>
      </rPr>
      <t xml:space="preserve">        </t>
    </r>
    <r>
      <rPr>
        <sz val="11"/>
        <color rgb="FF000000"/>
        <rFont val="RTA Office Light"/>
      </rPr>
      <t>Ensure compliance with relevant design standards and requirements during the planning and installation phases of Traffic Signal projects.</t>
    </r>
  </si>
  <si>
    <r>
      <t>2.</t>
    </r>
    <r>
      <rPr>
        <sz val="7"/>
        <color theme="1"/>
        <rFont val="Times New Roman"/>
        <family val="1"/>
      </rPr>
      <t xml:space="preserve">      </t>
    </r>
    <r>
      <rPr>
        <sz val="11"/>
        <color rgb="FF000000"/>
        <rFont val="RTA Office Light"/>
      </rPr>
      <t xml:space="preserve">Conduct thorough site assessments to identify potential hazards and optimize Traffic Signal placement. </t>
    </r>
  </si>
  <si>
    <r>
      <t>3.</t>
    </r>
    <r>
      <rPr>
        <sz val="7"/>
        <color theme="1"/>
        <rFont val="Times New Roman"/>
        <family val="1"/>
      </rPr>
      <t xml:space="preserve">      </t>
    </r>
    <r>
      <rPr>
        <sz val="11"/>
        <color rgb="FF000000"/>
        <rFont val="RTA Office Light"/>
      </rPr>
      <t>Conduct regular inspections and maintenance of electrical components.</t>
    </r>
  </si>
  <si>
    <r>
      <t>a.</t>
    </r>
    <r>
      <rPr>
        <sz val="7"/>
        <color theme="1"/>
        <rFont val="Times New Roman"/>
        <family val="1"/>
      </rPr>
      <t xml:space="preserve">       </t>
    </r>
    <r>
      <rPr>
        <sz val="11"/>
        <color rgb="FF000000"/>
        <rFont val="RTA Office Light"/>
      </rPr>
      <t>Lack of routine inspections leading to undetected defects or deterioration in Traffic Signal components.</t>
    </r>
  </si>
  <si>
    <t>2. Establish a proactive maintenance program focused on preventive measures such as cleaning and painting, to prolong Traffic Signal lifespan.</t>
  </si>
  <si>
    <t>5. Electrical Failures</t>
  </si>
  <si>
    <r>
      <t>a.</t>
    </r>
    <r>
      <rPr>
        <sz val="7"/>
        <color theme="1"/>
        <rFont val="Times New Roman"/>
        <family val="1"/>
      </rPr>
      <t xml:space="preserve">       </t>
    </r>
    <r>
      <rPr>
        <sz val="11"/>
        <color rgb="FF000000"/>
        <rFont val="RTA Office Light"/>
      </rPr>
      <t>Exposed wires and conductors can cause a potentially dangerous voltage spark.</t>
    </r>
  </si>
  <si>
    <r>
      <t>b.</t>
    </r>
    <r>
      <rPr>
        <sz val="7"/>
        <color theme="1"/>
        <rFont val="Times New Roman"/>
        <family val="1"/>
      </rPr>
      <t xml:space="preserve">      </t>
    </r>
    <r>
      <rPr>
        <sz val="11"/>
        <color rgb="FF000000"/>
        <rFont val="RTA Office Light"/>
      </rPr>
      <t>Lose or missing electrical components, such as missing grounding and wiring connections.</t>
    </r>
  </si>
  <si>
    <r>
      <t>c.</t>
    </r>
    <r>
      <rPr>
        <sz val="7"/>
        <color theme="1"/>
        <rFont val="Times New Roman"/>
        <family val="1"/>
      </rPr>
      <t xml:space="preserve">       </t>
    </r>
    <r>
      <rPr>
        <sz val="11"/>
        <color rgb="FF000000"/>
        <rFont val="RTA Office Light"/>
      </rPr>
      <t>LEDs not functioning properly, not providing sufficient light, damaged, etc.</t>
    </r>
  </si>
  <si>
    <r>
      <t>d.</t>
    </r>
    <r>
      <rPr>
        <sz val="7"/>
        <color theme="1"/>
        <rFont val="Times New Roman"/>
        <family val="1"/>
      </rPr>
      <t xml:space="preserve">      </t>
    </r>
    <r>
      <rPr>
        <sz val="11"/>
        <color rgb="FF000000"/>
        <rFont val="RTA Office Light"/>
      </rPr>
      <t>Power Failure/Outages</t>
    </r>
  </si>
  <si>
    <t>1. Respond to all failures in a timely manner, from time of risk failure detection.</t>
  </si>
  <si>
    <t>2. Electrical wiring and grounding safely and properly insulated and secured away from pedestrians.</t>
  </si>
  <si>
    <t>3. Lose or missing electrical components repaired in a timely manner.</t>
  </si>
  <si>
    <t>4. Repair or replace Signal Lights as necessary.</t>
  </si>
  <si>
    <t>5. Install backup generators or battery systems for signals.</t>
  </si>
  <si>
    <r>
      <t>a.</t>
    </r>
    <r>
      <rPr>
        <sz val="7"/>
        <color theme="1"/>
        <rFont val="Times New Roman"/>
        <family val="1"/>
      </rPr>
      <t xml:space="preserve">       </t>
    </r>
    <r>
      <rPr>
        <sz val="11"/>
        <color rgb="FF000000"/>
        <rFont val="RTA Office Light"/>
      </rPr>
      <t>Delays in responding to reported Traffic Signal damages due to ineffective communication or resource allocation.</t>
    </r>
  </si>
  <si>
    <r>
      <t>b.</t>
    </r>
    <r>
      <rPr>
        <sz val="7"/>
        <color theme="1"/>
        <rFont val="Times New Roman"/>
        <family val="1"/>
      </rPr>
      <t xml:space="preserve">      </t>
    </r>
    <r>
      <rPr>
        <sz val="11"/>
        <color rgb="FF000000"/>
        <rFont val="RTA Office Light"/>
      </rPr>
      <t>Lack of standardized procedures or protocols for assessing and prioritizing Traffic Signal repairs, leading to inconsistent outcomes.</t>
    </r>
  </si>
  <si>
    <r>
      <t>1.</t>
    </r>
    <r>
      <rPr>
        <sz val="7"/>
        <color theme="1"/>
        <rFont val="Times New Roman"/>
        <family val="1"/>
      </rPr>
      <t xml:space="preserve">        </t>
    </r>
    <r>
      <rPr>
        <sz val="11"/>
        <color rgb="FF000000"/>
        <rFont val="RTA Office Light"/>
      </rPr>
      <t>Implement a centralized reporting system for documenting and tracking Traffic Signal damage reports, streamlining communication and ensuring timely responses.</t>
    </r>
  </si>
  <si>
    <r>
      <t>a.</t>
    </r>
    <r>
      <rPr>
        <sz val="7"/>
        <color theme="1"/>
        <rFont val="Times New Roman"/>
        <family val="1"/>
      </rPr>
      <t xml:space="preserve">       </t>
    </r>
    <r>
      <rPr>
        <sz val="11"/>
        <color rgb="FF000000"/>
        <rFont val="RTA Office Light"/>
      </rPr>
      <t>Insufficient training for maintenance personnel in identifying, assessing, and repairing Traffic Signal defects or damage.</t>
    </r>
  </si>
  <si>
    <r>
      <t>1.</t>
    </r>
    <r>
      <rPr>
        <sz val="7"/>
        <color theme="1"/>
        <rFont val="Times New Roman"/>
        <family val="1"/>
      </rPr>
      <t xml:space="preserve">        </t>
    </r>
    <r>
      <rPr>
        <sz val="11"/>
        <color rgb="FF000000"/>
        <rFont val="RTA Office Light"/>
      </rPr>
      <t>Develop a comprehensive training program covering Traffic Signal inspection techniques, repair procedures, safety protocols, and equipment operation.</t>
    </r>
  </si>
  <si>
    <r>
      <t>a.</t>
    </r>
    <r>
      <rPr>
        <sz val="7"/>
        <color theme="1"/>
        <rFont val="Times New Roman"/>
        <family val="1"/>
      </rPr>
      <t xml:space="preserve">       </t>
    </r>
    <r>
      <rPr>
        <sz val="11"/>
        <color rgb="FF000000"/>
        <rFont val="RTA Office Light"/>
      </rPr>
      <t>Limited funding for Traffic Signal maintenance and repair activities, resulting in deferred maintenance and increased asset deterioration.</t>
    </r>
  </si>
  <si>
    <r>
      <t>b.</t>
    </r>
    <r>
      <rPr>
        <sz val="7"/>
        <color theme="1"/>
        <rFont val="Times New Roman"/>
        <family val="1"/>
      </rPr>
      <t xml:space="preserve">      </t>
    </r>
    <r>
      <rPr>
        <sz val="11"/>
        <color rgb="FF000000"/>
        <rFont val="RTA Office Light"/>
      </rPr>
      <t>Inability to invest in technological advancements or innovative solutions to improve Traffic Signal performance and longevity.</t>
    </r>
  </si>
  <si>
    <r>
      <t>1.</t>
    </r>
    <r>
      <rPr>
        <sz val="7"/>
        <color theme="1"/>
        <rFont val="Times New Roman"/>
        <family val="1"/>
      </rPr>
      <t xml:space="preserve">        </t>
    </r>
    <r>
      <rPr>
        <sz val="11"/>
        <color rgb="FF000000"/>
        <rFont val="RTA Office Light"/>
      </rPr>
      <t>Advocate for dedicated funding allocations for Traffic Signal maintenance and repair as part of the annual budgeting process, highlighting the importance of preserving critical infrastructure assets and ensuring public safety.</t>
    </r>
  </si>
  <si>
    <r>
      <t>3.</t>
    </r>
    <r>
      <rPr>
        <b/>
        <sz val="7"/>
        <color theme="1"/>
        <rFont val="Times New Roman"/>
        <family val="1"/>
      </rPr>
      <t xml:space="preserve">    </t>
    </r>
    <r>
      <rPr>
        <b/>
        <sz val="11"/>
        <color rgb="FF000000"/>
        <rFont val="RTA Office Light"/>
      </rPr>
      <t>Traffic Signal Mis Synchronization</t>
    </r>
  </si>
  <si>
    <t>Traffic signal mis-synchronization can lead to inefficiencies, increased congestion, longer travel times, and even safety hazards</t>
  </si>
  <si>
    <r>
      <t>1.</t>
    </r>
    <r>
      <rPr>
        <sz val="7"/>
        <color theme="1"/>
        <rFont val="Times New Roman"/>
        <family val="1"/>
      </rPr>
      <t xml:space="preserve">        </t>
    </r>
    <r>
      <rPr>
        <sz val="11"/>
        <color rgb="FF000000"/>
        <rFont val="RTA Office Light"/>
      </rPr>
      <t>Upgrade signal timing systems and software.</t>
    </r>
  </si>
  <si>
    <r>
      <t>2.</t>
    </r>
    <r>
      <rPr>
        <sz val="7"/>
        <color theme="1"/>
        <rFont val="Times New Roman"/>
        <family val="1"/>
      </rPr>
      <t xml:space="preserve">      </t>
    </r>
    <r>
      <rPr>
        <sz val="11"/>
        <color rgb="FF000000"/>
        <rFont val="RTA Office Light"/>
      </rPr>
      <t>Implement synchronized traffic signal systems for coordination.</t>
    </r>
  </si>
  <si>
    <r>
      <t>3.</t>
    </r>
    <r>
      <rPr>
        <sz val="7"/>
        <color theme="1"/>
        <rFont val="Times New Roman"/>
        <family val="1"/>
      </rPr>
      <t xml:space="preserve">      </t>
    </r>
    <r>
      <rPr>
        <sz val="11"/>
        <color rgb="FF000000"/>
        <rFont val="RTA Office Light"/>
      </rPr>
      <t>Conduct regular audits of signal timings</t>
    </r>
  </si>
  <si>
    <r>
      <t>10.</t>
    </r>
    <r>
      <rPr>
        <sz val="7"/>
        <color rgb="FF000000"/>
        <rFont val="Times New Roman"/>
        <family val="1"/>
      </rPr>
      <t xml:space="preserve">   </t>
    </r>
    <r>
      <rPr>
        <sz val="11"/>
        <color rgb="FF000000"/>
        <rFont val="RTA Office Light"/>
      </rPr>
      <t>Software/System Failure</t>
    </r>
  </si>
  <si>
    <r>
      <t>a.</t>
    </r>
    <r>
      <rPr>
        <sz val="7"/>
        <color theme="1"/>
        <rFont val="Times New Roman"/>
        <family val="1"/>
      </rPr>
      <t xml:space="preserve">      </t>
    </r>
    <r>
      <rPr>
        <sz val="12"/>
        <color rgb="FF000000"/>
        <rFont val="RTA Office Light"/>
      </rPr>
      <t>Sandstorms cause abrasion and erosion of Surveillance System surfaces, causing paint deteriorations such as chipped or peeled paint and rusting.</t>
    </r>
  </si>
  <si>
    <r>
      <t>1.</t>
    </r>
    <r>
      <rPr>
        <sz val="7"/>
        <color theme="1"/>
        <rFont val="Times New Roman"/>
        <family val="1"/>
      </rPr>
      <t xml:space="preserve">      </t>
    </r>
    <r>
      <rPr>
        <sz val="12"/>
        <color rgb="FF000000"/>
        <rFont val="RTA Office Light"/>
      </rPr>
      <t>Implement regular inspections following extreme weather events to assess Surveillance System integrity and address any damage promptly.</t>
    </r>
  </si>
  <si>
    <r>
      <t>2.</t>
    </r>
    <r>
      <rPr>
        <sz val="7"/>
        <color theme="1"/>
        <rFont val="Times New Roman"/>
        <family val="1"/>
      </rPr>
      <t xml:space="preserve">      </t>
    </r>
    <r>
      <rPr>
        <sz val="12"/>
        <color rgb="FF000000"/>
        <rFont val="RTA Office Light"/>
      </rPr>
      <t>Utilize weather forecasting technology to anticipate severe weather conditions and implement pre-emptive measures, such as increased maintenance patrols.</t>
    </r>
  </si>
  <si>
    <r>
      <t>3.</t>
    </r>
    <r>
      <rPr>
        <sz val="7"/>
        <color theme="1"/>
        <rFont val="Times New Roman"/>
        <family val="1"/>
      </rPr>
      <t xml:space="preserve">      </t>
    </r>
    <r>
      <rPr>
        <sz val="12"/>
        <color rgb="FF000000"/>
        <rFont val="RTA Office Light"/>
      </rPr>
      <t>Perform regular cleaning procedures to remove sand, vegetation, and other debris.</t>
    </r>
  </si>
  <si>
    <r>
      <t>4.</t>
    </r>
    <r>
      <rPr>
        <sz val="7"/>
        <color theme="1"/>
        <rFont val="Times New Roman"/>
        <family val="1"/>
      </rPr>
      <t xml:space="preserve">      </t>
    </r>
    <r>
      <rPr>
        <sz val="12"/>
        <color rgb="FF000000"/>
        <rFont val="RTA Office Light"/>
      </rPr>
      <t>Implement protection measures, such as using protective coatings, to reduce erosion and extend the service life of the Surveillance System.</t>
    </r>
  </si>
  <si>
    <r>
      <t>b.</t>
    </r>
    <r>
      <rPr>
        <sz val="7"/>
        <color theme="1"/>
        <rFont val="Times New Roman"/>
        <family val="1"/>
      </rPr>
      <t xml:space="preserve">      </t>
    </r>
    <r>
      <rPr>
        <sz val="12"/>
        <color rgb="FF000000"/>
        <rFont val="RTA Office Light"/>
      </rPr>
      <t>Heavy rainfall can result in flooding, which can damage Surveillance Systems, causing erosion, deterioration, rusting, and severe damage of electrical components.</t>
    </r>
  </si>
  <si>
    <r>
      <t>3.</t>
    </r>
    <r>
      <rPr>
        <sz val="7"/>
        <color theme="1"/>
        <rFont val="Times New Roman"/>
        <family val="1"/>
      </rPr>
      <t xml:space="preserve">      </t>
    </r>
    <r>
      <rPr>
        <sz val="12"/>
        <color rgb="FF000000"/>
        <rFont val="RTA Office Light"/>
      </rPr>
      <t>Improve drainage systems to prevent water accumulation.</t>
    </r>
  </si>
  <si>
    <r>
      <t>1.</t>
    </r>
    <r>
      <rPr>
        <sz val="7"/>
        <color theme="1"/>
        <rFont val="Times New Roman"/>
        <family val="1"/>
      </rPr>
      <t xml:space="preserve">       </t>
    </r>
    <r>
      <rPr>
        <sz val="12"/>
        <color rgb="FF000000"/>
        <rFont val="RTA Office Light"/>
      </rPr>
      <t>Diversity funding sources and maintain a contingency reserve to mitigate financial risk and handle unexpected costs.</t>
    </r>
  </si>
  <si>
    <r>
      <t>a.</t>
    </r>
    <r>
      <rPr>
        <sz val="7"/>
        <color theme="1"/>
        <rFont val="Times New Roman"/>
        <family val="1"/>
      </rPr>
      <t xml:space="preserve">      </t>
    </r>
    <r>
      <rPr>
        <sz val="12"/>
        <color rgb="FF000000"/>
        <rFont val="RTA Office Light"/>
      </rPr>
      <t>Environmental and Climate Change can damage the asset over time, causing erosion and deterioration.</t>
    </r>
  </si>
  <si>
    <t xml:space="preserve">1. Incorporate climate resilience into asset design and maintenance strategies to improve durability and ensure adaptability to changing environmental conditions, thereby safeguarding the infrastructure of the Surveillance System. </t>
  </si>
  <si>
    <r>
      <t>2.</t>
    </r>
    <r>
      <rPr>
        <sz val="7"/>
        <color theme="1"/>
        <rFont val="Times New Roman"/>
        <family val="1"/>
      </rPr>
      <t xml:space="preserve">     </t>
    </r>
    <r>
      <rPr>
        <sz val="12"/>
        <color rgb="FF000000"/>
        <rFont val="RTA Office Light"/>
      </rPr>
      <t>Conduct frequent inspections to identify and address damaged Surveillance Systems promptly.</t>
    </r>
  </si>
  <si>
    <r>
      <t>a.</t>
    </r>
    <r>
      <rPr>
        <sz val="7"/>
        <color theme="1"/>
        <rFont val="Times New Roman"/>
        <family val="1"/>
      </rPr>
      <t xml:space="preserve">      </t>
    </r>
    <r>
      <rPr>
        <sz val="12"/>
        <color rgb="FF000000"/>
        <rFont val="RTA Office Light"/>
      </rPr>
      <t>Premature degradation and deterioration.</t>
    </r>
  </si>
  <si>
    <r>
      <t>b.</t>
    </r>
    <r>
      <rPr>
        <sz val="7"/>
        <color theme="1"/>
        <rFont val="Times New Roman"/>
        <family val="1"/>
      </rPr>
      <t xml:space="preserve">      </t>
    </r>
    <r>
      <rPr>
        <sz val="12"/>
        <color rgb="FF000000"/>
        <rFont val="RTA Office Light"/>
      </rPr>
      <t>Increased maintenance cost during life cycle.</t>
    </r>
  </si>
  <si>
    <r>
      <t>c.</t>
    </r>
    <r>
      <rPr>
        <sz val="7"/>
        <color theme="1"/>
        <rFont val="Times New Roman"/>
        <family val="1"/>
      </rPr>
      <t xml:space="preserve">      </t>
    </r>
    <r>
      <rPr>
        <sz val="12"/>
        <color rgb="FF000000"/>
        <rFont val="RTA Office Light"/>
      </rPr>
      <t>Indirect effect on the maintenance budget due to extra expenditure on maintenance of Surveillance Systems.</t>
    </r>
  </si>
  <si>
    <r>
      <t>1.</t>
    </r>
    <r>
      <rPr>
        <sz val="7"/>
        <color theme="1"/>
        <rFont val="Times New Roman"/>
        <family val="1"/>
      </rPr>
      <t xml:space="preserve">       </t>
    </r>
    <r>
      <rPr>
        <sz val="12"/>
        <color rgb="FF000000"/>
        <rFont val="RTA Office Light"/>
      </rPr>
      <t xml:space="preserve"> Imposing stringent specifications for supply and installation.</t>
    </r>
  </si>
  <si>
    <r>
      <t>2.</t>
    </r>
    <r>
      <rPr>
        <sz val="7"/>
        <color theme="1"/>
        <rFont val="Times New Roman"/>
        <family val="1"/>
      </rPr>
      <t xml:space="preserve">     </t>
    </r>
    <r>
      <rPr>
        <sz val="12"/>
        <color rgb="FF000000"/>
        <rFont val="RTA Office Light"/>
      </rPr>
      <t>Setting up an adequate warranty period in the material supply and installation contract.</t>
    </r>
  </si>
  <si>
    <r>
      <t>3.</t>
    </r>
    <r>
      <rPr>
        <sz val="7"/>
        <color theme="1"/>
        <rFont val="Times New Roman"/>
        <family val="1"/>
      </rPr>
      <t xml:space="preserve">      </t>
    </r>
    <r>
      <rPr>
        <sz val="12"/>
        <color rgb="FF000000"/>
        <rFont val="RTA Office Light"/>
      </rPr>
      <t>Introduction of performance-based contracting.</t>
    </r>
  </si>
  <si>
    <r>
      <t>b.</t>
    </r>
    <r>
      <rPr>
        <sz val="7"/>
        <color theme="1"/>
        <rFont val="Times New Roman"/>
        <family val="1"/>
      </rPr>
      <t xml:space="preserve">      </t>
    </r>
    <r>
      <rPr>
        <sz val="12"/>
        <color rgb="FF000000"/>
        <rFont val="RTA Office Light"/>
      </rPr>
      <t>Increased risk of collisions with Surveillance Systems due to over-speeding.</t>
    </r>
  </si>
  <si>
    <r>
      <t>c.</t>
    </r>
    <r>
      <rPr>
        <sz val="7"/>
        <color theme="1"/>
        <rFont val="Times New Roman"/>
        <family val="1"/>
      </rPr>
      <t xml:space="preserve">      </t>
    </r>
    <r>
      <rPr>
        <sz val="12"/>
        <color rgb="FF000000"/>
        <rFont val="RTA Office Light"/>
      </rPr>
      <t>Secondary accidents are caused by drivers losing control after colliding with Surveillance Systems due to high speed.</t>
    </r>
  </si>
  <si>
    <r>
      <t>1.</t>
    </r>
    <r>
      <rPr>
        <sz val="7"/>
        <color theme="1"/>
        <rFont val="Times New Roman"/>
        <family val="1"/>
      </rPr>
      <t xml:space="preserve">       </t>
    </r>
    <r>
      <rPr>
        <sz val="12"/>
        <color rgb="FF000000"/>
        <rFont val="RTA Office Light"/>
      </rPr>
      <t>Improve traffic flow and congestion management through measures such as traffic signal optimization, lane widening, or improved signage to reduce the likelihood of collisions.</t>
    </r>
  </si>
  <si>
    <r>
      <t>2.</t>
    </r>
    <r>
      <rPr>
        <sz val="7"/>
        <color theme="1"/>
        <rFont val="Times New Roman"/>
        <family val="1"/>
      </rPr>
      <t xml:space="preserve">     </t>
    </r>
    <r>
      <rPr>
        <sz val="12"/>
        <color rgb="FF000000"/>
        <rFont val="RTA Office Light"/>
      </rPr>
      <t>Enhance visibility and awareness of Surveillance Systems through reflective markers and lighting to alert drivers to potential hazards.</t>
    </r>
  </si>
  <si>
    <r>
      <t>3.</t>
    </r>
    <r>
      <rPr>
        <sz val="7"/>
        <color theme="1"/>
        <rFont val="Times New Roman"/>
        <family val="1"/>
      </rPr>
      <t xml:space="preserve">      </t>
    </r>
    <r>
      <rPr>
        <sz val="12"/>
        <color rgb="FF000000"/>
        <rFont val="RTA Office Light"/>
      </rPr>
      <t>Speed control measures, by imposing fines and issuing speed tickets for over speeding.</t>
    </r>
  </si>
  <si>
    <r>
      <t>a.</t>
    </r>
    <r>
      <rPr>
        <sz val="7"/>
        <color theme="1"/>
        <rFont val="Times New Roman"/>
        <family val="1"/>
      </rPr>
      <t xml:space="preserve">      </t>
    </r>
    <r>
      <rPr>
        <sz val="12"/>
        <color rgb="FF000000"/>
        <rFont val="RTA Office Light"/>
      </rPr>
      <t>Deliberate tampering with Surveillance System by vandals or malicious actors.</t>
    </r>
  </si>
  <si>
    <r>
      <t>b.</t>
    </r>
    <r>
      <rPr>
        <sz val="7"/>
        <color theme="1"/>
        <rFont val="Times New Roman"/>
        <family val="1"/>
      </rPr>
      <t xml:space="preserve">      </t>
    </r>
    <r>
      <rPr>
        <sz val="12"/>
        <color rgb="FF000000"/>
        <rFont val="RTA Office Light"/>
      </rPr>
      <t>Forms of defacement on Surveillance System surfaces, impairing aesthetics.</t>
    </r>
  </si>
  <si>
    <r>
      <t>1.</t>
    </r>
    <r>
      <rPr>
        <sz val="7"/>
        <color theme="1"/>
        <rFont val="Times New Roman"/>
        <family val="1"/>
      </rPr>
      <t xml:space="preserve">       </t>
    </r>
    <r>
      <rPr>
        <sz val="12"/>
        <color rgb="FF000000"/>
        <rFont val="RTA Office Light"/>
      </rPr>
      <t>Increase surveillance and security measures in areas prone to vandalism, such as remote or poorly lit locations, to deter unauthorized access and vandalism attempts.</t>
    </r>
  </si>
  <si>
    <r>
      <t>2.</t>
    </r>
    <r>
      <rPr>
        <sz val="7"/>
        <color theme="1"/>
        <rFont val="Times New Roman"/>
        <family val="1"/>
      </rPr>
      <t xml:space="preserve">     </t>
    </r>
    <r>
      <rPr>
        <sz val="12"/>
        <color rgb="FF000000"/>
        <rFont val="RTA Office Light"/>
      </rPr>
      <t>Implement anti-defacing coatings on Surveillance Systems to facilitate easier clean-up and discourage future vandalism.</t>
    </r>
  </si>
  <si>
    <r>
      <t>a.</t>
    </r>
    <r>
      <rPr>
        <sz val="7"/>
        <color theme="1"/>
        <rFont val="Times New Roman"/>
        <family val="1"/>
      </rPr>
      <t xml:space="preserve">      </t>
    </r>
    <r>
      <rPr>
        <sz val="12"/>
        <color rgb="FF000000"/>
        <rFont val="RTA Office Light"/>
      </rPr>
      <t>Over time, materials and electrical components used in Surveillance Systems can degrade, leading to deteriorations of Surveillance System coatings or finishes, reducing resistance to corrosion, compromising aesthetics and the overall structural and functional integrity of the Surveillance System.</t>
    </r>
  </si>
  <si>
    <r>
      <t>1.</t>
    </r>
    <r>
      <rPr>
        <sz val="7"/>
        <color theme="1"/>
        <rFont val="Times New Roman"/>
        <family val="1"/>
      </rPr>
      <t xml:space="preserve">       </t>
    </r>
    <r>
      <rPr>
        <sz val="12"/>
        <color rgb="FF000000"/>
        <rFont val="RTA Office Light"/>
      </rPr>
      <t>Regularly inspect Surveillance Systems to identify early signs of deterioration.</t>
    </r>
  </si>
  <si>
    <r>
      <t>2.</t>
    </r>
    <r>
      <rPr>
        <sz val="7"/>
        <color theme="1"/>
        <rFont val="Times New Roman"/>
        <family val="1"/>
      </rPr>
      <t xml:space="preserve">     </t>
    </r>
    <r>
      <rPr>
        <sz val="12"/>
        <color rgb="FF000000"/>
        <rFont val="RTA Office Light"/>
      </rPr>
      <t>Perform timely repairs and maintenance to address any issues before they worsen.</t>
    </r>
  </si>
  <si>
    <r>
      <t>3.</t>
    </r>
    <r>
      <rPr>
        <sz val="7"/>
        <color theme="1"/>
        <rFont val="Times New Roman"/>
        <family val="1"/>
      </rPr>
      <t xml:space="preserve">      </t>
    </r>
    <r>
      <rPr>
        <sz val="12"/>
        <color rgb="FF000000"/>
        <rFont val="RTA Office Light"/>
      </rPr>
      <t>Implement protection measures to extend the service life of Surveillance System components.</t>
    </r>
  </si>
  <si>
    <t>RFMD Inspection and Maintenance Team, Surveillance System Material Supplier and Installer and the Maintenance Contractor</t>
  </si>
  <si>
    <r>
      <t>a.</t>
    </r>
    <r>
      <rPr>
        <sz val="7"/>
        <color theme="1"/>
        <rFont val="Times New Roman"/>
        <family val="1"/>
      </rPr>
      <t xml:space="preserve">      </t>
    </r>
    <r>
      <rPr>
        <sz val="12"/>
        <color rgb="FF000000"/>
        <rFont val="RTA Office Light"/>
      </rPr>
      <t>Pedestrians may accidentally walk into damaged Surveillance Systems, leading to trips, falls and other injuries.</t>
    </r>
  </si>
  <si>
    <r>
      <t>1.</t>
    </r>
    <r>
      <rPr>
        <sz val="7"/>
        <color theme="1"/>
        <rFont val="Times New Roman"/>
        <family val="1"/>
      </rPr>
      <t xml:space="preserve">       </t>
    </r>
    <r>
      <rPr>
        <sz val="12"/>
        <color rgb="FF000000"/>
        <rFont val="RTA Office Light"/>
      </rPr>
      <t>Conduct frequent inspections to identify and address damaged Surveillance Systems promptly.</t>
    </r>
  </si>
  <si>
    <r>
      <t>2.</t>
    </r>
    <r>
      <rPr>
        <sz val="7"/>
        <color theme="1"/>
        <rFont val="Times New Roman"/>
        <family val="1"/>
      </rPr>
      <t xml:space="preserve">     </t>
    </r>
    <r>
      <rPr>
        <sz val="12"/>
        <color rgb="FF000000"/>
        <rFont val="RTA Office Light"/>
      </rPr>
      <t>Place temporary warning signs around damaged Surveillance Systems to alert pedestrians and prevent accidents until repairs are made.</t>
    </r>
  </si>
  <si>
    <r>
      <t>a.</t>
    </r>
    <r>
      <rPr>
        <sz val="7"/>
        <color theme="1"/>
        <rFont val="Times New Roman"/>
        <family val="1"/>
      </rPr>
      <t xml:space="preserve">      </t>
    </r>
    <r>
      <rPr>
        <sz val="12"/>
        <color rgb="FF000000"/>
        <rFont val="RTA Office Light"/>
      </rPr>
      <t>Streetlights installations not meeting required standards may pose collision risks to vehicles, cyclists, and pedestrians, especially in low-visibility conditions.</t>
    </r>
  </si>
  <si>
    <r>
      <t>b.</t>
    </r>
    <r>
      <rPr>
        <sz val="7"/>
        <color theme="1"/>
        <rFont val="Times New Roman"/>
        <family val="1"/>
      </rPr>
      <t xml:space="preserve">      </t>
    </r>
    <r>
      <rPr>
        <sz val="12"/>
        <color rgb="FF000000"/>
        <rFont val="RTA Office Light"/>
      </rPr>
      <t>Electrical failures in Surveillance Systems can result from power surges, faulty wiring or component failures.</t>
    </r>
  </si>
  <si>
    <r>
      <t>1.</t>
    </r>
    <r>
      <rPr>
        <sz val="7"/>
        <color theme="1"/>
        <rFont val="Times New Roman"/>
        <family val="1"/>
      </rPr>
      <t xml:space="preserve">       </t>
    </r>
    <r>
      <rPr>
        <sz val="12"/>
        <color rgb="FF000000"/>
        <rFont val="RTA Office Light"/>
      </rPr>
      <t>Ensure compliance with relevant design standards and requirements during the planning and installation phases of Surveillance System projects.</t>
    </r>
  </si>
  <si>
    <r>
      <t>2.</t>
    </r>
    <r>
      <rPr>
        <sz val="7"/>
        <color theme="1"/>
        <rFont val="Times New Roman"/>
        <family val="1"/>
      </rPr>
      <t xml:space="preserve">     </t>
    </r>
    <r>
      <rPr>
        <sz val="12"/>
        <color rgb="FF000000"/>
        <rFont val="RTA Office Light"/>
      </rPr>
      <t xml:space="preserve">Conduct thorough site assessments to identify potential hazards and optimize Surveillance System placement. </t>
    </r>
  </si>
  <si>
    <r>
      <t>3.</t>
    </r>
    <r>
      <rPr>
        <sz val="7"/>
        <color theme="1"/>
        <rFont val="Times New Roman"/>
        <family val="1"/>
      </rPr>
      <t xml:space="preserve">      </t>
    </r>
    <r>
      <rPr>
        <sz val="12"/>
        <color rgb="FF000000"/>
        <rFont val="RTA Office Light"/>
      </rPr>
      <t>Conduct regular inspections and maintenance of electrical components.</t>
    </r>
  </si>
  <si>
    <r>
      <t>a.</t>
    </r>
    <r>
      <rPr>
        <sz val="7"/>
        <color theme="1"/>
        <rFont val="Times New Roman"/>
        <family val="1"/>
      </rPr>
      <t xml:space="preserve">      </t>
    </r>
    <r>
      <rPr>
        <sz val="12"/>
        <color rgb="FF000000"/>
        <rFont val="RTA Office Light"/>
      </rPr>
      <t>Lack of routine inspections leading to undetected defects or deterioration in Surveillance System components.</t>
    </r>
  </si>
  <si>
    <r>
      <t>b.</t>
    </r>
    <r>
      <rPr>
        <sz val="7"/>
        <color theme="1"/>
        <rFont val="Times New Roman"/>
        <family val="1"/>
      </rPr>
      <t xml:space="preserve">      </t>
    </r>
    <r>
      <rPr>
        <sz val="12"/>
        <color rgb="FF000000"/>
        <rFont val="RTA Office Light"/>
      </rPr>
      <t>Inadequate maintenance practices resulting in missed opportunities to address minor issues before they escalate into major failures.</t>
    </r>
  </si>
  <si>
    <t>2. Establish a proactive maintenance program focused on preventive measures such as cleaning and painting, to prolong Surveillance System lifespan.</t>
  </si>
  <si>
    <r>
      <t>a.</t>
    </r>
    <r>
      <rPr>
        <sz val="7"/>
        <color theme="1"/>
        <rFont val="Times New Roman"/>
        <family val="1"/>
      </rPr>
      <t xml:space="preserve">      </t>
    </r>
    <r>
      <rPr>
        <sz val="12"/>
        <color rgb="FF000000"/>
        <rFont val="RTA Office Light"/>
      </rPr>
      <t>Exposed wires and conductors can cause a potentially dangerous voltage spark.</t>
    </r>
  </si>
  <si>
    <r>
      <t>b.</t>
    </r>
    <r>
      <rPr>
        <sz val="7"/>
        <color theme="1"/>
        <rFont val="Times New Roman"/>
        <family val="1"/>
      </rPr>
      <t xml:space="preserve">      </t>
    </r>
    <r>
      <rPr>
        <sz val="12"/>
        <color rgb="FF000000"/>
        <rFont val="RTA Office Light"/>
      </rPr>
      <t>Lose or missing electrical components, such as missing grounding and wiring connections.</t>
    </r>
  </si>
  <si>
    <r>
      <t>c.</t>
    </r>
    <r>
      <rPr>
        <sz val="7"/>
        <color theme="1"/>
        <rFont val="Times New Roman"/>
        <family val="1"/>
      </rPr>
      <t xml:space="preserve">      </t>
    </r>
    <r>
      <rPr>
        <sz val="12"/>
        <color rgb="FF000000"/>
        <rFont val="RTA Office Light"/>
      </rPr>
      <t>Luminary bulbs not functioning properly, not providing sufficient light, damaged, etc.</t>
    </r>
  </si>
  <si>
    <t>4. Repair or replace luminaries as necessary.</t>
  </si>
  <si>
    <r>
      <t>a.</t>
    </r>
    <r>
      <rPr>
        <sz val="7"/>
        <color theme="1"/>
        <rFont val="Times New Roman"/>
        <family val="1"/>
      </rPr>
      <t xml:space="preserve">      </t>
    </r>
    <r>
      <rPr>
        <sz val="12"/>
        <color rgb="FF000000"/>
        <rFont val="RTA Office Light"/>
      </rPr>
      <t>Delays in responding to reported Surveillance System damages due to ineffective communication or resource allocation.</t>
    </r>
  </si>
  <si>
    <r>
      <t>b.</t>
    </r>
    <r>
      <rPr>
        <sz val="7"/>
        <color theme="1"/>
        <rFont val="Times New Roman"/>
        <family val="1"/>
      </rPr>
      <t xml:space="preserve">      </t>
    </r>
    <r>
      <rPr>
        <sz val="12"/>
        <color rgb="FF000000"/>
        <rFont val="RTA Office Light"/>
      </rPr>
      <t>Lack of standardized procedures or protocols for assessing and prioritizing Surveillance System repairs, leading to inconsistent outcomes.</t>
    </r>
  </si>
  <si>
    <r>
      <t>1.</t>
    </r>
    <r>
      <rPr>
        <sz val="7"/>
        <color theme="1"/>
        <rFont val="Times New Roman"/>
        <family val="1"/>
      </rPr>
      <t xml:space="preserve">       </t>
    </r>
    <r>
      <rPr>
        <sz val="12"/>
        <color rgb="FF000000"/>
        <rFont val="RTA Office Light"/>
      </rPr>
      <t>Implement a centralized reporting system for documenting and tracking Surveillance System damage reports, streamlining communication and ensuring timely responses.</t>
    </r>
  </si>
  <si>
    <r>
      <t>2.</t>
    </r>
    <r>
      <rPr>
        <sz val="7"/>
        <color theme="1"/>
        <rFont val="Times New Roman"/>
        <family val="1"/>
      </rPr>
      <t xml:space="preserve">     </t>
    </r>
    <r>
      <rPr>
        <sz val="12"/>
        <color rgb="FF000000"/>
        <rFont val="RTA Office Light"/>
      </rPr>
      <t>Establish clear escalation procedures and response timelines for addressing reported damages based on severity, location, and impact on safety.</t>
    </r>
  </si>
  <si>
    <r>
      <t>a.</t>
    </r>
    <r>
      <rPr>
        <sz val="7"/>
        <color theme="1"/>
        <rFont val="Times New Roman"/>
        <family val="1"/>
      </rPr>
      <t xml:space="preserve">      </t>
    </r>
    <r>
      <rPr>
        <sz val="12"/>
        <color rgb="FF000000"/>
        <rFont val="RTA Office Light"/>
      </rPr>
      <t>Insufficient training for maintenance personnel in identifying, assessing, and repairing Surveillance System defects or damage.</t>
    </r>
  </si>
  <si>
    <r>
      <t>b.</t>
    </r>
    <r>
      <rPr>
        <sz val="7"/>
        <color theme="1"/>
        <rFont val="Times New Roman"/>
        <family val="1"/>
      </rPr>
      <t xml:space="preserve">      </t>
    </r>
    <r>
      <rPr>
        <sz val="12"/>
        <color rgb="FF000000"/>
        <rFont val="RTA Office Light"/>
      </rPr>
      <t>Retirement of job change by maintenance crews leading to loss of institutional knowledge and skills gaps.</t>
    </r>
  </si>
  <si>
    <r>
      <t>1.</t>
    </r>
    <r>
      <rPr>
        <sz val="7"/>
        <color theme="1"/>
        <rFont val="Times New Roman"/>
        <family val="1"/>
      </rPr>
      <t xml:space="preserve">       </t>
    </r>
    <r>
      <rPr>
        <sz val="12"/>
        <color rgb="FF000000"/>
        <rFont val="RTA Office Light"/>
      </rPr>
      <t>Develop a comprehensive training program covering Surveillance System inspection techniques, repair procedures, safety protocols, and equipment operation.</t>
    </r>
  </si>
  <si>
    <r>
      <t>2.</t>
    </r>
    <r>
      <rPr>
        <sz val="7"/>
        <color theme="1"/>
        <rFont val="Times New Roman"/>
        <family val="1"/>
      </rPr>
      <t xml:space="preserve">     </t>
    </r>
    <r>
      <rPr>
        <sz val="12"/>
        <color rgb="FF000000"/>
        <rFont val="RTA Office Light"/>
      </rPr>
      <t>Provide ongoing professional development opportunities and performance incentives to encourage skill retention and career advancement among maintenance staff.</t>
    </r>
  </si>
  <si>
    <r>
      <t>a.</t>
    </r>
    <r>
      <rPr>
        <sz val="7"/>
        <color theme="1"/>
        <rFont val="Times New Roman"/>
        <family val="1"/>
      </rPr>
      <t xml:space="preserve">      </t>
    </r>
    <r>
      <rPr>
        <sz val="12"/>
        <color rgb="FF000000"/>
        <rFont val="RTA Office Light"/>
      </rPr>
      <t>Limited funding for Surveillance System maintenance and repair activities, resulting in deferred maintenance and increased asset deterioration.</t>
    </r>
  </si>
  <si>
    <r>
      <t>b.</t>
    </r>
    <r>
      <rPr>
        <sz val="7"/>
        <color theme="1"/>
        <rFont val="Times New Roman"/>
        <family val="1"/>
      </rPr>
      <t xml:space="preserve">      </t>
    </r>
    <r>
      <rPr>
        <sz val="12"/>
        <color rgb="FF000000"/>
        <rFont val="RTA Office Light"/>
      </rPr>
      <t>Inability to invest in technological advancements or innovative solutions to improve Surveillance System performance and longevity.</t>
    </r>
  </si>
  <si>
    <r>
      <t>1.</t>
    </r>
    <r>
      <rPr>
        <sz val="7"/>
        <color theme="1"/>
        <rFont val="Times New Roman"/>
        <family val="1"/>
      </rPr>
      <t xml:space="preserve">       </t>
    </r>
    <r>
      <rPr>
        <sz val="12"/>
        <color rgb="FF000000"/>
        <rFont val="RTA Office Light"/>
      </rPr>
      <t>Advocate for dedicated funding allocations for Surveillance System maintenance and repair as part of the annual budgeting process, highlighting the importance of preserving critical infrastructure assets and ensuring public safety.</t>
    </r>
  </si>
  <si>
    <r>
      <t>2.</t>
    </r>
    <r>
      <rPr>
        <sz val="7"/>
        <color theme="1"/>
        <rFont val="Times New Roman"/>
        <family val="1"/>
      </rPr>
      <t xml:space="preserve">     </t>
    </r>
    <r>
      <rPr>
        <sz val="12"/>
        <color rgb="FF000000"/>
        <rFont val="RTA Office Light"/>
      </rPr>
      <t>Explore alternative funding sources such as grants, partnerships, or asset management programs to supplement existing budget allocations and support long-term sustainability initiatives.</t>
    </r>
  </si>
  <si>
    <r>
      <t>1.</t>
    </r>
    <r>
      <rPr>
        <sz val="7"/>
        <color rgb="FF000000"/>
        <rFont val="Times New Roman"/>
        <family val="1"/>
      </rPr>
      <t xml:space="preserve">       </t>
    </r>
    <r>
      <rPr>
        <sz val="12"/>
        <color rgb="FF000000"/>
        <rFont val="RTA Office Light"/>
      </rPr>
      <t>Lack of Trained Maintenance Staff</t>
    </r>
  </si>
  <si>
    <r>
      <t>2.</t>
    </r>
    <r>
      <rPr>
        <sz val="7"/>
        <color rgb="FF000000"/>
        <rFont val="Times New Roman"/>
        <family val="1"/>
      </rPr>
      <t xml:space="preserve">     </t>
    </r>
    <r>
      <rPr>
        <sz val="12"/>
        <color rgb="FF000000"/>
        <rFont val="RTA Office Light"/>
      </rPr>
      <t>Lack of documentation and maintenance SOPs and procedures</t>
    </r>
  </si>
  <si>
    <r>
      <t>3.</t>
    </r>
    <r>
      <rPr>
        <sz val="7"/>
        <color rgb="FF000000"/>
        <rFont val="Times New Roman"/>
        <family val="1"/>
      </rPr>
      <t xml:space="preserve">      </t>
    </r>
    <r>
      <rPr>
        <sz val="12"/>
        <color rgb="FF000000"/>
        <rFont val="RTA Office Light"/>
      </rPr>
      <t>Lack of Maintenance Budget</t>
    </r>
  </si>
  <si>
    <r>
      <t>4.</t>
    </r>
    <r>
      <rPr>
        <sz val="7"/>
        <color rgb="FF000000"/>
        <rFont val="Times New Roman"/>
        <family val="1"/>
      </rPr>
      <t xml:space="preserve">     </t>
    </r>
    <r>
      <rPr>
        <sz val="12"/>
        <color rgb="FF000000"/>
        <rFont val="RTA Office Light"/>
      </rPr>
      <t>Use of poor-quality of Materials</t>
    </r>
  </si>
  <si>
    <r>
      <t>5.</t>
    </r>
    <r>
      <rPr>
        <sz val="7"/>
        <color rgb="FF000000"/>
        <rFont val="Times New Roman"/>
        <family val="1"/>
      </rPr>
      <t xml:space="preserve">     </t>
    </r>
    <r>
      <rPr>
        <sz val="12"/>
        <color rgb="FF000000"/>
        <rFont val="RTA Office Light"/>
      </rPr>
      <t>Inadequate Planning and Scheduling of Maintenance Activities</t>
    </r>
  </si>
  <si>
    <r>
      <t>6.</t>
    </r>
    <r>
      <rPr>
        <sz val="7"/>
        <color rgb="FF000000"/>
        <rFont val="Times New Roman"/>
        <family val="1"/>
      </rPr>
      <t xml:space="preserve">     </t>
    </r>
    <r>
      <rPr>
        <sz val="12"/>
        <color rgb="FF000000"/>
        <rFont val="RTA Office Light"/>
      </rPr>
      <t>Resistance to Adopting New Technologies</t>
    </r>
  </si>
  <si>
    <r>
      <t>7.</t>
    </r>
    <r>
      <rPr>
        <sz val="7"/>
        <color rgb="FF000000"/>
        <rFont val="Times New Roman"/>
        <family val="1"/>
      </rPr>
      <t xml:space="preserve">      </t>
    </r>
    <r>
      <rPr>
        <sz val="12"/>
        <color rgb="FF000000"/>
        <rFont val="RTA Office Light"/>
      </rPr>
      <t>Ineffective Coordination with Other Roadwork</t>
    </r>
  </si>
  <si>
    <r>
      <t>8.</t>
    </r>
    <r>
      <rPr>
        <sz val="7"/>
        <color rgb="FF000000"/>
        <rFont val="Times New Roman"/>
        <family val="1"/>
      </rPr>
      <t xml:space="preserve">     </t>
    </r>
    <r>
      <rPr>
        <sz val="12"/>
        <color rgb="FF000000"/>
        <rFont val="RTA Office Light"/>
      </rPr>
      <t>Environmental Compliance Issues</t>
    </r>
  </si>
  <si>
    <r>
      <t>9.</t>
    </r>
    <r>
      <rPr>
        <sz val="7"/>
        <color rgb="FF000000"/>
        <rFont val="Times New Roman"/>
        <family val="1"/>
      </rPr>
      <t xml:space="preserve">     </t>
    </r>
    <r>
      <rPr>
        <sz val="12"/>
        <color rgb="FF000000"/>
        <rFont val="RTA Office Light"/>
      </rPr>
      <t>Inadequate Stakeholder Engagement</t>
    </r>
  </si>
  <si>
    <r>
      <t>1.</t>
    </r>
    <r>
      <rPr>
        <sz val="7"/>
        <color rgb="FF000000"/>
        <rFont val="Times New Roman"/>
        <family val="1"/>
      </rPr>
      <t xml:space="preserve">       </t>
    </r>
    <r>
      <rPr>
        <sz val="12"/>
        <color rgb="FF000000"/>
        <rFont val="RTA Office Light"/>
      </rPr>
      <t>Training and Development</t>
    </r>
  </si>
  <si>
    <r>
      <t>2.</t>
    </r>
    <r>
      <rPr>
        <sz val="7"/>
        <color rgb="FF000000"/>
        <rFont val="Times New Roman"/>
        <family val="1"/>
      </rPr>
      <t xml:space="preserve">     </t>
    </r>
    <r>
      <rPr>
        <sz val="12"/>
        <color rgb="FF000000"/>
        <rFont val="RTA Office Light"/>
      </rPr>
      <t>Adapting preventive maintenance strategy</t>
    </r>
  </si>
  <si>
    <r>
      <t>3.</t>
    </r>
    <r>
      <rPr>
        <sz val="7"/>
        <color rgb="FF000000"/>
        <rFont val="Times New Roman"/>
        <family val="1"/>
      </rPr>
      <t xml:space="preserve">      </t>
    </r>
    <r>
      <rPr>
        <sz val="12"/>
        <color rgb="FF000000"/>
        <rFont val="RTA Office Light"/>
      </rPr>
      <t>Continuous inspection and monitoring</t>
    </r>
  </si>
  <si>
    <r>
      <t>4.</t>
    </r>
    <r>
      <rPr>
        <sz val="7"/>
        <color rgb="FF000000"/>
        <rFont val="Times New Roman"/>
        <family val="1"/>
      </rPr>
      <t xml:space="preserve">     </t>
    </r>
    <r>
      <rPr>
        <sz val="12"/>
        <color rgb="FF000000"/>
        <rFont val="RTA Office Light"/>
      </rPr>
      <t>Developing inspection and condition rating protocols</t>
    </r>
  </si>
  <si>
    <r>
      <t>5.</t>
    </r>
    <r>
      <rPr>
        <sz val="7"/>
        <color rgb="FF000000"/>
        <rFont val="Times New Roman"/>
        <family val="1"/>
      </rPr>
      <t xml:space="preserve">     </t>
    </r>
    <r>
      <rPr>
        <sz val="12"/>
        <color rgb="FF000000"/>
        <rFont val="RTA Office Light"/>
      </rPr>
      <t>Budget advocacy and Management</t>
    </r>
  </si>
  <si>
    <r>
      <t>6.</t>
    </r>
    <r>
      <rPr>
        <sz val="7"/>
        <color rgb="FF000000"/>
        <rFont val="Times New Roman"/>
        <family val="1"/>
      </rPr>
      <t xml:space="preserve">     </t>
    </r>
    <r>
      <rPr>
        <sz val="12"/>
        <color rgb="FF000000"/>
        <rFont val="RTA Office Light"/>
      </rPr>
      <t>Quality Control</t>
    </r>
  </si>
  <si>
    <r>
      <t>7.</t>
    </r>
    <r>
      <rPr>
        <sz val="7"/>
        <color rgb="FF000000"/>
        <rFont val="Times New Roman"/>
        <family val="1"/>
      </rPr>
      <t xml:space="preserve">      </t>
    </r>
    <r>
      <rPr>
        <sz val="12"/>
        <color rgb="FF000000"/>
        <rFont val="RTA Office Light"/>
      </rPr>
      <t>Effective Maintenance Scheduling</t>
    </r>
  </si>
  <si>
    <r>
      <t>8.</t>
    </r>
    <r>
      <rPr>
        <sz val="7"/>
        <color rgb="FF000000"/>
        <rFont val="Times New Roman"/>
        <family val="1"/>
      </rPr>
      <t xml:space="preserve">     </t>
    </r>
    <r>
      <rPr>
        <sz val="12"/>
        <color rgb="FF000000"/>
        <rFont val="RTA Office Light"/>
      </rPr>
      <t>Innovation adaption, such as introduction of new materials</t>
    </r>
  </si>
  <si>
    <r>
      <t>9.</t>
    </r>
    <r>
      <rPr>
        <sz val="7"/>
        <color rgb="FF000000"/>
        <rFont val="Times New Roman"/>
        <family val="1"/>
      </rPr>
      <t xml:space="preserve">     </t>
    </r>
    <r>
      <rPr>
        <sz val="12"/>
        <color rgb="FF000000"/>
        <rFont val="RTA Office Light"/>
      </rPr>
      <t>Environmental Best Practices</t>
    </r>
  </si>
  <si>
    <r>
      <t>10.</t>
    </r>
    <r>
      <rPr>
        <sz val="7"/>
        <color rgb="FF000000"/>
        <rFont val="Times New Roman"/>
        <family val="1"/>
      </rPr>
      <t xml:space="preserve">  </t>
    </r>
    <r>
      <rPr>
        <sz val="12"/>
        <color rgb="FF000000"/>
        <rFont val="RTA Office Light"/>
      </rPr>
      <t>Engage Stakeholders</t>
    </r>
  </si>
  <si>
    <r>
      <t>a.</t>
    </r>
    <r>
      <rPr>
        <sz val="7"/>
        <color theme="1"/>
        <rFont val="Times New Roman"/>
        <family val="1"/>
      </rPr>
      <t xml:space="preserve">       </t>
    </r>
    <r>
      <rPr>
        <sz val="11"/>
        <color rgb="FF000000"/>
        <rFont val="RTA Office Light"/>
      </rPr>
      <t>Sandstorms cause abrasion and erosion of crash cushion or end terminal surfaces, causing paint deteriorations.</t>
    </r>
  </si>
  <si>
    <r>
      <t>1.</t>
    </r>
    <r>
      <rPr>
        <sz val="7"/>
        <color theme="1"/>
        <rFont val="Times New Roman"/>
        <family val="1"/>
      </rPr>
      <t xml:space="preserve">       </t>
    </r>
    <r>
      <rPr>
        <sz val="11"/>
        <color rgb="FF000000"/>
        <rFont val="RTA Office Light"/>
      </rPr>
      <t>Implement regular inspections following extreme weather events to assess crash cushion or end terminal integrity and address any damage promptly.</t>
    </r>
  </si>
  <si>
    <r>
      <t>3.</t>
    </r>
    <r>
      <rPr>
        <sz val="7"/>
        <color theme="1"/>
        <rFont val="Times New Roman"/>
        <family val="1"/>
      </rPr>
      <t xml:space="preserve">       </t>
    </r>
    <r>
      <rPr>
        <sz val="11"/>
        <color rgb="FF000000"/>
        <rFont val="RTA Office Light"/>
      </rPr>
      <t>Implement protection measures, such as using protective coatings, to reduce erosion and extend the service life of the crash cushion or end terminal.</t>
    </r>
  </si>
  <si>
    <r>
      <t>a.</t>
    </r>
    <r>
      <rPr>
        <sz val="7"/>
        <color theme="1"/>
        <rFont val="Times New Roman"/>
        <family val="1"/>
      </rPr>
      <t xml:space="preserve">       </t>
    </r>
    <r>
      <rPr>
        <sz val="11"/>
        <color rgb="FF000000"/>
        <rFont val="RTA Office Light"/>
      </rPr>
      <t>Heavy rainfall can result in flooding, which can damage crash cushion or end terminal, causing erosion and deterioration.</t>
    </r>
  </si>
  <si>
    <t>a. Economic downturns can significantly impact resource allocation and funding availability.</t>
  </si>
  <si>
    <t xml:space="preserve">1. Incorporate climate resilience into asset design and maintenance strategies to improve durability and ensure adaptability to changing environmental conditions, thereby safeguarding the infrastructure of the crash cushion or end terminal. </t>
  </si>
  <si>
    <t>2. Conduct frequent inspections to identify and address damaged crash cushion or end terminal promptly.</t>
  </si>
  <si>
    <t>4. Technological Advancements:</t>
  </si>
  <si>
    <t>a. Technological advancements have the potential to make current assets outdated and irrelevant.</t>
  </si>
  <si>
    <r>
      <t>1.</t>
    </r>
    <r>
      <rPr>
        <sz val="7"/>
        <color theme="1"/>
        <rFont val="Times New Roman"/>
        <family val="1"/>
      </rPr>
      <t xml:space="preserve">       </t>
    </r>
    <r>
      <rPr>
        <sz val="11"/>
        <color rgb="FF000000"/>
        <rFont val="RTA Office Light"/>
      </rPr>
      <t>Invest in research and development and stay up to date with industry trends</t>
    </r>
  </si>
  <si>
    <r>
      <t>c.</t>
    </r>
    <r>
      <rPr>
        <sz val="7"/>
        <color theme="1"/>
        <rFont val="Times New Roman"/>
        <family val="1"/>
      </rPr>
      <t xml:space="preserve">       </t>
    </r>
    <r>
      <rPr>
        <sz val="11"/>
        <color rgb="FF000000"/>
        <rFont val="RTA Office Light"/>
      </rPr>
      <t>Indirect effect on the maintenance budget due to extra expenditure on maintenance of crash cushion or end terminal.</t>
    </r>
  </si>
  <si>
    <t>6. Accidents Due to Over Speeding:</t>
  </si>
  <si>
    <r>
      <t>a.</t>
    </r>
    <r>
      <rPr>
        <sz val="7"/>
        <color theme="1"/>
        <rFont val="Times New Roman"/>
        <family val="1"/>
      </rPr>
      <t xml:space="preserve">       </t>
    </r>
    <r>
      <rPr>
        <sz val="11"/>
        <color rgb="FF000000"/>
        <rFont val="RTA Office Light"/>
      </rPr>
      <t>Increased risk of collisions with crash cushion or end terminal due to over-speeding.</t>
    </r>
  </si>
  <si>
    <r>
      <t>b.</t>
    </r>
    <r>
      <rPr>
        <sz val="7"/>
        <color theme="1"/>
        <rFont val="Times New Roman"/>
        <family val="1"/>
      </rPr>
      <t xml:space="preserve">      </t>
    </r>
    <r>
      <rPr>
        <sz val="11"/>
        <color rgb="FF000000"/>
        <rFont val="RTA Office Light"/>
      </rPr>
      <t>Secondary accidents are caused by drivers losing control after colliding with crash cushion or end terminal due to over speeding.</t>
    </r>
  </si>
  <si>
    <r>
      <t>c.</t>
    </r>
    <r>
      <rPr>
        <sz val="7"/>
        <color theme="1"/>
        <rFont val="Times New Roman"/>
        <family val="1"/>
      </rPr>
      <t xml:space="preserve">       </t>
    </r>
    <r>
      <rPr>
        <sz val="11"/>
        <color rgb="FF000000"/>
        <rFont val="RTA Office Light"/>
      </rPr>
      <t>Direct impact from vehicles can damage the asset and impair functionality.</t>
    </r>
  </si>
  <si>
    <r>
      <t>2.</t>
    </r>
    <r>
      <rPr>
        <sz val="7"/>
        <color theme="1"/>
        <rFont val="Times New Roman"/>
        <family val="1"/>
      </rPr>
      <t xml:space="preserve">      </t>
    </r>
    <r>
      <rPr>
        <sz val="11"/>
        <color rgb="FF000000"/>
        <rFont val="RTA Office Light"/>
      </rPr>
      <t>Enhance visibility and awareness of crash cushion or end terminal through reflective markers, lighting, or rumble strips to alert drivers to potential hazards.</t>
    </r>
  </si>
  <si>
    <t>7. Vandalism or intentional damage:</t>
  </si>
  <si>
    <r>
      <t>a.</t>
    </r>
    <r>
      <rPr>
        <sz val="7"/>
        <color theme="1"/>
        <rFont val="Times New Roman"/>
        <family val="1"/>
      </rPr>
      <t xml:space="preserve">       </t>
    </r>
    <r>
      <rPr>
        <sz val="11"/>
        <color rgb="FF000000"/>
        <rFont val="RTA Office Light"/>
      </rPr>
      <t>Deliberate tampering with crash cushion or end terminal components, such as loosening bolts or cutting sections, by vandals or malicious actors.</t>
    </r>
  </si>
  <si>
    <r>
      <t>b.</t>
    </r>
    <r>
      <rPr>
        <sz val="7"/>
        <color theme="1"/>
        <rFont val="Times New Roman"/>
        <family val="1"/>
      </rPr>
      <t xml:space="preserve">      </t>
    </r>
    <r>
      <rPr>
        <sz val="11"/>
        <color rgb="FF000000"/>
        <rFont val="RTA Office Light"/>
      </rPr>
      <t>Forms of defacement on crash cushion or end terminal surfaces, impairing visibility and aesthetics.</t>
    </r>
  </si>
  <si>
    <r>
      <t>2.</t>
    </r>
    <r>
      <rPr>
        <sz val="7"/>
        <color theme="1"/>
        <rFont val="Times New Roman"/>
        <family val="1"/>
      </rPr>
      <t xml:space="preserve">      </t>
    </r>
    <r>
      <rPr>
        <sz val="11"/>
        <color rgb="FF000000"/>
        <rFont val="RTA Office Light"/>
      </rPr>
      <t>Implement anti-defacing coatings on crash cushion or end terminal to facilitate easier clean-up and discourage future vandalism.</t>
    </r>
  </si>
  <si>
    <r>
      <t>a.</t>
    </r>
    <r>
      <rPr>
        <sz val="7"/>
        <color theme="1"/>
        <rFont val="Times New Roman"/>
        <family val="1"/>
      </rPr>
      <t xml:space="preserve">       </t>
    </r>
    <r>
      <rPr>
        <sz val="11"/>
        <color rgb="FF000000"/>
        <rFont val="RTA Office Light"/>
      </rPr>
      <t>Corrosion of crash cushion or end terminal components due to exposure to chemical runoff from nearby roadways.</t>
    </r>
  </si>
  <si>
    <r>
      <t>b.</t>
    </r>
    <r>
      <rPr>
        <sz val="7"/>
        <color theme="1"/>
        <rFont val="Times New Roman"/>
        <family val="1"/>
      </rPr>
      <t xml:space="preserve">      </t>
    </r>
    <r>
      <rPr>
        <sz val="11"/>
        <color rgb="FF000000"/>
        <rFont val="RTA Office Light"/>
      </rPr>
      <t>Deterioration of crash cushion or end terminal coatings or finishes, reducing resistance to corrosion and compromising aesthetics.</t>
    </r>
  </si>
  <si>
    <r>
      <t>1.</t>
    </r>
    <r>
      <rPr>
        <sz val="7"/>
        <color theme="1"/>
        <rFont val="Times New Roman"/>
        <family val="1"/>
      </rPr>
      <t xml:space="preserve">        </t>
    </r>
    <r>
      <rPr>
        <sz val="11"/>
        <color rgb="FF000000"/>
        <rFont val="RTA Office Light"/>
      </rPr>
      <t>Regularly inspect crash cushion or end terminal for early signs of corrosion or deterioration.</t>
    </r>
  </si>
  <si>
    <r>
      <t>3.</t>
    </r>
    <r>
      <rPr>
        <sz val="7"/>
        <color theme="1"/>
        <rFont val="Times New Roman"/>
        <family val="1"/>
      </rPr>
      <t xml:space="preserve">      </t>
    </r>
    <r>
      <rPr>
        <sz val="11"/>
        <color rgb="FF000000"/>
        <rFont val="RTA Office Light"/>
      </rPr>
      <t>Implement protection measures to extend the service life of crash cushion or end terminal.</t>
    </r>
  </si>
  <si>
    <r>
      <t>4.</t>
    </r>
    <r>
      <rPr>
        <sz val="7"/>
        <color theme="1"/>
        <rFont val="Times New Roman"/>
        <family val="1"/>
      </rPr>
      <t xml:space="preserve">      </t>
    </r>
    <r>
      <rPr>
        <sz val="11"/>
        <color rgb="FF000000"/>
        <rFont val="RTA Office Light"/>
      </rPr>
      <t>Implement corrosion protection measures such as galvanization, epoxy coatings, or sacrificial anodes to extend the service life of crash cushion or end terminal components.</t>
    </r>
  </si>
  <si>
    <r>
      <t>5.</t>
    </r>
    <r>
      <rPr>
        <sz val="7"/>
        <color theme="1"/>
        <rFont val="Times New Roman"/>
        <family val="1"/>
      </rPr>
      <t xml:space="preserve">      </t>
    </r>
    <r>
      <rPr>
        <sz val="11"/>
        <color rgb="FF000000"/>
        <rFont val="RTA Office Light"/>
      </rPr>
      <t>use more durable materials.</t>
    </r>
  </si>
  <si>
    <r>
      <t>a.</t>
    </r>
    <r>
      <rPr>
        <sz val="7"/>
        <color theme="1"/>
        <rFont val="Times New Roman"/>
        <family val="1"/>
      </rPr>
      <t xml:space="preserve">       </t>
    </r>
    <r>
      <rPr>
        <sz val="11"/>
        <color rgb="FF000000"/>
        <rFont val="RTA Office Light"/>
      </rPr>
      <t>crash cushion or end terminal installations not meeting required crashworthiness standards, resulting in inadequate protection.</t>
    </r>
  </si>
  <si>
    <r>
      <t>b.</t>
    </r>
    <r>
      <rPr>
        <sz val="7"/>
        <color theme="1"/>
        <rFont val="Times New Roman"/>
        <family val="1"/>
      </rPr>
      <t xml:space="preserve">      </t>
    </r>
    <r>
      <rPr>
        <sz val="11"/>
        <color rgb="FF000000"/>
        <rFont val="RTA Office Light"/>
      </rPr>
      <t>Poor alignment or spacing of crash cushion or end terminal sections, increasing the risk of vehicle penetration or entrapment.</t>
    </r>
  </si>
  <si>
    <r>
      <t>c.</t>
    </r>
    <r>
      <rPr>
        <sz val="7"/>
        <color theme="1"/>
        <rFont val="Times New Roman"/>
        <family val="1"/>
      </rPr>
      <t xml:space="preserve">       </t>
    </r>
    <r>
      <rPr>
        <sz val="11"/>
        <color rgb="FF000000"/>
        <rFont val="RTA Office Light"/>
      </rPr>
      <t>Material quality Issues could affect the longevity and performance of crash cushion or end terminal.</t>
    </r>
  </si>
  <si>
    <r>
      <t>1.</t>
    </r>
    <r>
      <rPr>
        <sz val="7"/>
        <color theme="1"/>
        <rFont val="Times New Roman"/>
        <family val="1"/>
      </rPr>
      <t xml:space="preserve">        </t>
    </r>
    <r>
      <rPr>
        <sz val="11"/>
        <color rgb="FF000000"/>
        <rFont val="RTA Office Light"/>
      </rPr>
      <t>Ensure compliance with relevant design standards and crash testing requirements during the planning and installation phases of crash cushion or end terminal projects.</t>
    </r>
  </si>
  <si>
    <r>
      <t>2.</t>
    </r>
    <r>
      <rPr>
        <sz val="7"/>
        <color theme="1"/>
        <rFont val="Times New Roman"/>
        <family val="1"/>
      </rPr>
      <t xml:space="preserve">      </t>
    </r>
    <r>
      <rPr>
        <sz val="11"/>
        <color rgb="FF000000"/>
        <rFont val="RTA Office Light"/>
      </rPr>
      <t>Conduct thorough site assessments to identify potential hazards and optimize crash cushion or end terminal placement and geometry to maximize effectiveness in redirecting errant vehicles.</t>
    </r>
  </si>
  <si>
    <r>
      <t>a.</t>
    </r>
    <r>
      <rPr>
        <sz val="7"/>
        <color theme="1"/>
        <rFont val="Times New Roman"/>
        <family val="1"/>
      </rPr>
      <t xml:space="preserve">       </t>
    </r>
    <r>
      <rPr>
        <sz val="11"/>
        <color rgb="FF000000"/>
        <rFont val="RTA Office Light"/>
      </rPr>
      <t>Delays in responding to reported crash cushion or end terminal damages due to ineffective communication or resource allocation can exacerbate incident impacts.</t>
    </r>
  </si>
  <si>
    <r>
      <t>b.</t>
    </r>
    <r>
      <rPr>
        <sz val="7"/>
        <color theme="1"/>
        <rFont val="Times New Roman"/>
        <family val="1"/>
      </rPr>
      <t xml:space="preserve">      </t>
    </r>
    <r>
      <rPr>
        <sz val="11"/>
        <color rgb="FF000000"/>
        <rFont val="RTA Office Light"/>
      </rPr>
      <t>Lack of standardized procedures or protocols for assessing and prioritizing crash cushion or end terminal repairs, leading to inconsistent outcomes.</t>
    </r>
  </si>
  <si>
    <r>
      <t>1.</t>
    </r>
    <r>
      <rPr>
        <sz val="7"/>
        <color theme="1"/>
        <rFont val="Times New Roman"/>
        <family val="1"/>
      </rPr>
      <t xml:space="preserve">        </t>
    </r>
    <r>
      <rPr>
        <sz val="11"/>
        <color rgb="FF000000"/>
        <rFont val="RTA Office Light"/>
      </rPr>
      <t>Implement a centralized reporting system for documenting and tracking crash cushion or end terminal damage reports, streamlining communication and ensuring timely responses.</t>
    </r>
  </si>
  <si>
    <r>
      <t>3.</t>
    </r>
    <r>
      <rPr>
        <sz val="7"/>
        <color theme="1"/>
        <rFont val="Times New Roman"/>
        <family val="1"/>
      </rPr>
      <t xml:space="preserve">      </t>
    </r>
    <r>
      <rPr>
        <sz val="11"/>
        <color rgb="FF000000"/>
        <rFont val="RTA Office Light"/>
      </rPr>
      <t xml:space="preserve">Regularly test emergency response plans and ensure clear communication channels. </t>
    </r>
  </si>
  <si>
    <r>
      <t>a.</t>
    </r>
    <r>
      <rPr>
        <sz val="7"/>
        <color theme="1"/>
        <rFont val="Times New Roman"/>
        <family val="1"/>
      </rPr>
      <t xml:space="preserve">       </t>
    </r>
    <r>
      <rPr>
        <sz val="11"/>
        <color rgb="FF000000"/>
        <rFont val="RTA Office Light"/>
      </rPr>
      <t>Insufficient training for maintenance personnel in identifying, assessing, and repairing crash cushion or end terminal defects or damage may result in improper asset use or maintenance.</t>
    </r>
  </si>
  <si>
    <r>
      <t>1.</t>
    </r>
    <r>
      <rPr>
        <sz val="7"/>
        <color theme="1"/>
        <rFont val="Times New Roman"/>
        <family val="1"/>
      </rPr>
      <t xml:space="preserve">        </t>
    </r>
    <r>
      <rPr>
        <sz val="11"/>
        <color rgb="FF000000"/>
        <rFont val="RTA Office Light"/>
      </rPr>
      <t>Develop a comprehensive training program covering crash cushion or end terminal inspection techniques, repair procedures, safety protocols, and equipment operation.</t>
    </r>
  </si>
  <si>
    <r>
      <t>3.</t>
    </r>
    <r>
      <rPr>
        <sz val="7"/>
        <color theme="1"/>
        <rFont val="Times New Roman"/>
        <family val="1"/>
      </rPr>
      <t xml:space="preserve">      </t>
    </r>
    <r>
      <rPr>
        <sz val="11"/>
        <color rgb="FF000000"/>
        <rFont val="RTA Office Light"/>
      </rPr>
      <t>Implement comprehensive training programs and continuous professional development.</t>
    </r>
  </si>
  <si>
    <r>
      <t>a.</t>
    </r>
    <r>
      <rPr>
        <sz val="7"/>
        <color theme="1"/>
        <rFont val="Times New Roman"/>
        <family val="1"/>
      </rPr>
      <t xml:space="preserve">       </t>
    </r>
    <r>
      <rPr>
        <sz val="11"/>
        <color rgb="FF000000"/>
        <rFont val="RTA Office Light"/>
      </rPr>
      <t>Limited funding for crash cushion or end terminal maintenance and repair activities, resulting in deferred maintenance and increased asset deterioration.</t>
    </r>
  </si>
  <si>
    <r>
      <t>b.</t>
    </r>
    <r>
      <rPr>
        <sz val="7"/>
        <color theme="1"/>
        <rFont val="Times New Roman"/>
        <family val="1"/>
      </rPr>
      <t xml:space="preserve">      </t>
    </r>
    <r>
      <rPr>
        <sz val="11"/>
        <color rgb="FF000000"/>
        <rFont val="RTA Office Light"/>
      </rPr>
      <t>Inability to invest in technological advancements or innovative solutions to improve crash cushion or end terminal performance and longevity.</t>
    </r>
  </si>
  <si>
    <r>
      <t>1.</t>
    </r>
    <r>
      <rPr>
        <sz val="7"/>
        <color theme="1"/>
        <rFont val="Times New Roman"/>
        <family val="1"/>
      </rPr>
      <t xml:space="preserve">        </t>
    </r>
    <r>
      <rPr>
        <sz val="11"/>
        <color rgb="FF000000"/>
        <rFont val="RTA Office Light"/>
      </rPr>
      <t>Advocate for dedicated funding allocations for crash cushion or end terminal maintenance and repair as part of the annual budgeting process, highlighting the importance of preserving critical infrastructure assets and ensuring public safety.</t>
    </r>
  </si>
  <si>
    <r>
      <t xml:space="preserve">3. Damage Due to Accident
</t>
    </r>
    <r>
      <rPr>
        <sz val="11"/>
        <color theme="1"/>
        <rFont val="RTA Office Light"/>
      </rPr>
      <t xml:space="preserve">a.Damage of crash cushion due o accident </t>
    </r>
  </si>
  <si>
    <r>
      <t>A.</t>
    </r>
    <r>
      <rPr>
        <b/>
        <sz val="7"/>
        <color rgb="FF000000"/>
        <rFont val="Times New Roman"/>
        <family val="1"/>
      </rPr>
      <t xml:space="preserve">    </t>
    </r>
    <r>
      <rPr>
        <b/>
        <sz val="11"/>
        <color rgb="FF000000"/>
        <rFont val="RTA Office Light"/>
      </rPr>
      <t>Natural Events and Hazards</t>
    </r>
  </si>
  <si>
    <r>
      <t>1.</t>
    </r>
    <r>
      <rPr>
        <b/>
        <sz val="7"/>
        <color rgb="FF000000"/>
        <rFont val="Times New Roman"/>
        <family val="1"/>
      </rPr>
      <t xml:space="preserve">   </t>
    </r>
    <r>
      <rPr>
        <b/>
        <sz val="11"/>
        <color rgb="FF000000"/>
        <rFont val="RTA Office Light"/>
      </rPr>
      <t>Flooding due to rain</t>
    </r>
  </si>
  <si>
    <r>
      <t>a.</t>
    </r>
    <r>
      <rPr>
        <sz val="7"/>
        <color rgb="FF000000"/>
        <rFont val="Times New Roman"/>
        <family val="1"/>
      </rPr>
      <t xml:space="preserve">       </t>
    </r>
    <r>
      <rPr>
        <sz val="11"/>
        <color rgb="FF000000"/>
        <rFont val="RTA Office Light"/>
      </rPr>
      <t>Reduced visibility</t>
    </r>
  </si>
  <si>
    <r>
      <t>b.</t>
    </r>
    <r>
      <rPr>
        <sz val="7"/>
        <color rgb="FF000000"/>
        <rFont val="Times New Roman"/>
        <family val="1"/>
      </rPr>
      <t xml:space="preserve">      </t>
    </r>
    <r>
      <rPr>
        <sz val="11"/>
        <color rgb="FF000000"/>
        <rFont val="RTA Office Light"/>
      </rPr>
      <t>Driver’s confusion</t>
    </r>
  </si>
  <si>
    <r>
      <t>c.</t>
    </r>
    <r>
      <rPr>
        <sz val="7"/>
        <color rgb="FF000000"/>
        <rFont val="Times New Roman"/>
        <family val="1"/>
      </rPr>
      <t xml:space="preserve">       </t>
    </r>
    <r>
      <rPr>
        <sz val="11"/>
        <color rgb="FF000000"/>
        <rFont val="RTA Office Light"/>
      </rPr>
      <t>Lane Departure Incidents</t>
    </r>
  </si>
  <si>
    <t>Proactive Maintenance and Inspection Programs</t>
  </si>
  <si>
    <t>1. Enhanced drainage system</t>
  </si>
  <si>
    <t>2. Regular Inspection and Maintenance after flooding events</t>
  </si>
  <si>
    <t>3. Strategic Planning and Design considering historical flood return periods.</t>
  </si>
  <si>
    <t>4. Considering Flood-Resilient Infrastructure during Planning and Design.</t>
  </si>
  <si>
    <t>5. Community Awareness and Alternative Routing.</t>
  </si>
  <si>
    <r>
      <t>2.</t>
    </r>
    <r>
      <rPr>
        <b/>
        <sz val="7"/>
        <color rgb="FF000000"/>
        <rFont val="Times New Roman"/>
        <family val="1"/>
      </rPr>
      <t xml:space="preserve">    </t>
    </r>
    <r>
      <rPr>
        <b/>
        <sz val="11"/>
        <color rgb="FF000000"/>
        <rFont val="RTA Office Light"/>
      </rPr>
      <t>High Heat Temperatures</t>
    </r>
  </si>
  <si>
    <r>
      <t>a.</t>
    </r>
    <r>
      <rPr>
        <sz val="7"/>
        <color rgb="FF000000"/>
        <rFont val="Times New Roman"/>
        <family val="1"/>
      </rPr>
      <t xml:space="preserve">       </t>
    </r>
    <r>
      <rPr>
        <sz val="11"/>
        <color rgb="FF000000"/>
        <rFont val="RTA Office Light"/>
      </rPr>
      <t>Accelerated deterioration of the material,</t>
    </r>
  </si>
  <si>
    <r>
      <t>b.</t>
    </r>
    <r>
      <rPr>
        <sz val="7"/>
        <color rgb="FF000000"/>
        <rFont val="Times New Roman"/>
        <family val="1"/>
      </rPr>
      <t xml:space="preserve">      </t>
    </r>
    <r>
      <rPr>
        <sz val="11"/>
        <color rgb="FF000000"/>
        <rFont val="RTA Office Light"/>
      </rPr>
      <t>Warranty issues due to hot weather conditions,</t>
    </r>
  </si>
  <si>
    <r>
      <t>c.</t>
    </r>
    <r>
      <rPr>
        <sz val="7"/>
        <color rgb="FF000000"/>
        <rFont val="Times New Roman"/>
        <family val="1"/>
      </rPr>
      <t xml:space="preserve">       </t>
    </r>
    <r>
      <rPr>
        <sz val="11"/>
        <color rgb="FF000000"/>
        <rFont val="RTA Office Light"/>
      </rPr>
      <t>Increased maintenance cost,</t>
    </r>
  </si>
  <si>
    <r>
      <t>d.</t>
    </r>
    <r>
      <rPr>
        <sz val="7"/>
        <color rgb="FF000000"/>
        <rFont val="Times New Roman"/>
        <family val="1"/>
      </rPr>
      <t xml:space="preserve">      </t>
    </r>
    <r>
      <rPr>
        <sz val="11"/>
        <color rgb="FF000000"/>
        <rFont val="RTA Office Light"/>
      </rPr>
      <t>Fading due to UV exposure,</t>
    </r>
  </si>
  <si>
    <r>
      <t>e.</t>
    </r>
    <r>
      <rPr>
        <sz val="7"/>
        <color rgb="FF000000"/>
        <rFont val="Times New Roman"/>
        <family val="1"/>
      </rPr>
      <t xml:space="preserve">      </t>
    </r>
    <r>
      <rPr>
        <sz val="11"/>
        <color rgb="FF000000"/>
        <rFont val="RTA Office Light"/>
      </rPr>
      <t xml:space="preserve">Thermal expansion. </t>
    </r>
  </si>
  <si>
    <r>
      <t>1.</t>
    </r>
    <r>
      <rPr>
        <sz val="7"/>
        <color rgb="FF000000"/>
        <rFont val="Times New Roman"/>
        <family val="1"/>
      </rPr>
      <t xml:space="preserve">        </t>
    </r>
    <r>
      <rPr>
        <sz val="11"/>
        <color rgb="FF000000"/>
        <rFont val="RTA Office Light"/>
      </rPr>
      <t>Use of weather resistance and advanced materials,</t>
    </r>
  </si>
  <si>
    <r>
      <t>2.</t>
    </r>
    <r>
      <rPr>
        <sz val="7"/>
        <color rgb="FF000000"/>
        <rFont val="Times New Roman"/>
        <family val="1"/>
      </rPr>
      <t xml:space="preserve">      </t>
    </r>
    <r>
      <rPr>
        <sz val="11"/>
        <color rgb="FF000000"/>
        <rFont val="RTA Office Light"/>
      </rPr>
      <t>Regular inspection and maintenance,</t>
    </r>
  </si>
  <si>
    <r>
      <t>3.</t>
    </r>
    <r>
      <rPr>
        <sz val="7"/>
        <color rgb="FF000000"/>
        <rFont val="Times New Roman"/>
        <family val="1"/>
      </rPr>
      <t xml:space="preserve">      </t>
    </r>
    <r>
      <rPr>
        <sz val="11"/>
        <color rgb="FF000000"/>
        <rFont val="RTA Office Light"/>
      </rPr>
      <t>Research and development to make the materials for use, specifically in Dubai.</t>
    </r>
  </si>
  <si>
    <r>
      <t>4.</t>
    </r>
    <r>
      <rPr>
        <sz val="7"/>
        <color rgb="FF000000"/>
        <rFont val="Times New Roman"/>
        <family val="1"/>
      </rPr>
      <t xml:space="preserve">      </t>
    </r>
    <r>
      <rPr>
        <sz val="11"/>
        <color rgb="FF000000"/>
        <rFont val="RTA Office Light"/>
      </rPr>
      <t>Implementation of stringent specifications,</t>
    </r>
  </si>
  <si>
    <r>
      <t>5.</t>
    </r>
    <r>
      <rPr>
        <sz val="7"/>
        <color rgb="FF000000"/>
        <rFont val="Times New Roman"/>
        <family val="1"/>
      </rPr>
      <t xml:space="preserve">      </t>
    </r>
    <r>
      <rPr>
        <sz val="11"/>
        <color rgb="FF000000"/>
        <rFont val="RTA Office Light"/>
      </rPr>
      <t xml:space="preserve">Implementation of performance-based contracting. </t>
    </r>
  </si>
  <si>
    <t xml:space="preserve">RFMD, Inspection and Maintenance Contractor. </t>
  </si>
  <si>
    <t>B. External Impacts on the Agency</t>
  </si>
  <si>
    <r>
      <t>1.</t>
    </r>
    <r>
      <rPr>
        <sz val="7"/>
        <color rgb="FF000000"/>
        <rFont val="Times New Roman"/>
        <family val="1"/>
      </rPr>
      <t xml:space="preserve">     </t>
    </r>
    <r>
      <rPr>
        <sz val="11"/>
        <color rgb="FF000000"/>
        <rFont val="RTA Office Light"/>
      </rPr>
      <t>Supply of non-compliant material, which results in:</t>
    </r>
  </si>
  <si>
    <r>
      <t>a.</t>
    </r>
    <r>
      <rPr>
        <sz val="7"/>
        <color rgb="FF000000"/>
        <rFont val="Times New Roman"/>
        <family val="1"/>
      </rPr>
      <t xml:space="preserve">    </t>
    </r>
    <r>
      <rPr>
        <sz val="11"/>
        <color rgb="FF000000"/>
        <rFont val="RTA Office Light"/>
      </rPr>
      <t>Premature degradation and deterioration,</t>
    </r>
  </si>
  <si>
    <r>
      <t>b.</t>
    </r>
    <r>
      <rPr>
        <sz val="7"/>
        <color rgb="FF000000"/>
        <rFont val="Times New Roman"/>
        <family val="1"/>
      </rPr>
      <t xml:space="preserve">   </t>
    </r>
    <r>
      <rPr>
        <sz val="11"/>
        <color rgb="FF000000"/>
        <rFont val="RTA Office Light"/>
      </rPr>
      <t>Increased maintenance cost during life-cycle,</t>
    </r>
  </si>
  <si>
    <r>
      <t>c.</t>
    </r>
    <r>
      <rPr>
        <sz val="7"/>
        <color rgb="FF000000"/>
        <rFont val="Times New Roman"/>
        <family val="1"/>
      </rPr>
      <t xml:space="preserve">    </t>
    </r>
    <r>
      <rPr>
        <sz val="11"/>
        <color rgb="FF000000"/>
        <rFont val="RTA Office Light"/>
      </rPr>
      <t>Indirect effect on the maintenance budget to due extra expenditure on maintenance of Road Marking.</t>
    </r>
  </si>
  <si>
    <r>
      <t>1.</t>
    </r>
    <r>
      <rPr>
        <sz val="7"/>
        <color rgb="FF000000"/>
        <rFont val="Times New Roman"/>
        <family val="1"/>
      </rPr>
      <t xml:space="preserve">        </t>
    </r>
    <r>
      <rPr>
        <sz val="11"/>
        <color rgb="FF000000"/>
        <rFont val="RTA Office Light"/>
      </rPr>
      <t xml:space="preserve">Stringent Specifications, </t>
    </r>
  </si>
  <si>
    <r>
      <t>2.</t>
    </r>
    <r>
      <rPr>
        <sz val="7"/>
        <color rgb="FF000000"/>
        <rFont val="Times New Roman"/>
        <family val="1"/>
      </rPr>
      <t xml:space="preserve">      </t>
    </r>
    <r>
      <rPr>
        <sz val="11"/>
        <color rgb="FF000000"/>
        <rFont val="RTA Office Light"/>
      </rPr>
      <t>Setting up an adequate warranty period in the material supply and installation contract,</t>
    </r>
  </si>
  <si>
    <r>
      <t>3.</t>
    </r>
    <r>
      <rPr>
        <sz val="7"/>
        <color rgb="FF000000"/>
        <rFont val="Times New Roman"/>
        <family val="1"/>
      </rPr>
      <t xml:space="preserve">      </t>
    </r>
    <r>
      <rPr>
        <sz val="11"/>
        <color rgb="FF000000"/>
        <rFont val="RTA Office Light"/>
      </rPr>
      <t>Introduction of performance-based contracting,</t>
    </r>
  </si>
  <si>
    <t>C. Physical Asset Failure</t>
  </si>
  <si>
    <r>
      <t>2.</t>
    </r>
    <r>
      <rPr>
        <sz val="7"/>
        <color rgb="FF000000"/>
        <rFont val="Times New Roman"/>
        <family val="1"/>
      </rPr>
      <t xml:space="preserve">      </t>
    </r>
    <r>
      <rPr>
        <sz val="11"/>
        <color rgb="FF000000"/>
        <rFont val="RTA Office Light"/>
      </rPr>
      <t>Reduced Visibility</t>
    </r>
  </si>
  <si>
    <r>
      <t>3.</t>
    </r>
    <r>
      <rPr>
        <sz val="7"/>
        <color rgb="FF000000"/>
        <rFont val="Times New Roman"/>
        <family val="1"/>
      </rPr>
      <t xml:space="preserve">      </t>
    </r>
    <r>
      <rPr>
        <sz val="11"/>
        <color rgb="FF000000"/>
        <rFont val="RTA Office Light"/>
      </rPr>
      <t>Drivers Confusion</t>
    </r>
  </si>
  <si>
    <r>
      <t>4.</t>
    </r>
    <r>
      <rPr>
        <sz val="7"/>
        <color rgb="FF000000"/>
        <rFont val="Times New Roman"/>
        <family val="1"/>
      </rPr>
      <t xml:space="preserve">      </t>
    </r>
    <r>
      <rPr>
        <sz val="11"/>
        <color rgb="FF000000"/>
        <rFont val="RTA Office Light"/>
      </rPr>
      <t>Lane Departure Incidents</t>
    </r>
  </si>
  <si>
    <r>
      <t>5.</t>
    </r>
    <r>
      <rPr>
        <sz val="7"/>
        <color rgb="FF000000"/>
        <rFont val="Times New Roman"/>
        <family val="1"/>
      </rPr>
      <t xml:space="preserve">      </t>
    </r>
    <r>
      <rPr>
        <sz val="11"/>
        <color rgb="FF000000"/>
        <rFont val="RTA Office Light"/>
      </rPr>
      <t>Legal Implications</t>
    </r>
  </si>
  <si>
    <t>1. Initiate Proactive Maintenance and Inspection Programs</t>
  </si>
  <si>
    <t>2. To measure Road Marking Retro reflectivity.</t>
  </si>
  <si>
    <t>3. Establish and follow a regular inspection schedule to detect and resolve faded pavement markings promptly.</t>
  </si>
  <si>
    <t>4. Invest in predictive maintenance technologies, such as condition monitoring systems, to detect early signs of deterioration and prioritize maintenance efforts.</t>
  </si>
  <si>
    <t>5. Establishing partnerships with maintenance contractors or specialized firms is essential to ensure timely and efficient reapplication of pavement markings using high-quality materials.</t>
  </si>
  <si>
    <t>RFMD Maintenance Team, Road Marking Material Supplier and Installer and the Maintenance Contractor</t>
  </si>
  <si>
    <r>
      <t>D.</t>
    </r>
    <r>
      <rPr>
        <b/>
        <sz val="7"/>
        <color rgb="FF000000"/>
        <rFont val="Times New Roman"/>
        <family val="1"/>
      </rPr>
      <t xml:space="preserve">   </t>
    </r>
    <r>
      <rPr>
        <b/>
        <sz val="11"/>
        <color rgb="FF000000"/>
        <rFont val="RTA Office Light"/>
      </rPr>
      <t>Operational Risk Events</t>
    </r>
  </si>
  <si>
    <r>
      <t>E.</t>
    </r>
    <r>
      <rPr>
        <b/>
        <sz val="7"/>
        <color rgb="FF000000"/>
        <rFont val="Times New Roman"/>
        <family val="1"/>
      </rPr>
      <t xml:space="preserve">    </t>
    </r>
    <r>
      <rPr>
        <b/>
        <sz val="11"/>
        <color rgb="FF000000"/>
        <rFont val="RTA Office Light"/>
      </rPr>
      <t xml:space="preserve">Pedestrian-Related Risks (Residential Road Network) </t>
    </r>
  </si>
  <si>
    <r>
      <t>1.</t>
    </r>
    <r>
      <rPr>
        <sz val="7"/>
        <color rgb="FF000000"/>
        <rFont val="Times New Roman"/>
        <family val="1"/>
      </rPr>
      <t xml:space="preserve">        </t>
    </r>
    <r>
      <rPr>
        <sz val="11"/>
        <color rgb="FF000000"/>
        <rFont val="RTA Office Light"/>
      </rPr>
      <t>Crosswalk Visibility</t>
    </r>
  </si>
  <si>
    <r>
      <t>2.</t>
    </r>
    <r>
      <rPr>
        <sz val="7"/>
        <color rgb="FF000000"/>
        <rFont val="Times New Roman"/>
        <family val="1"/>
      </rPr>
      <t xml:space="preserve">      </t>
    </r>
    <r>
      <rPr>
        <sz val="11"/>
        <color rgb="FF000000"/>
        <rFont val="RTA Office Light"/>
      </rPr>
      <t>Pedestrian Confusion</t>
    </r>
  </si>
  <si>
    <r>
      <t>3.</t>
    </r>
    <r>
      <rPr>
        <sz val="7"/>
        <color rgb="FF000000"/>
        <rFont val="Times New Roman"/>
        <family val="1"/>
      </rPr>
      <t xml:space="preserve">      </t>
    </r>
    <r>
      <rPr>
        <sz val="11"/>
        <color rgb="FF000000"/>
        <rFont val="RTA Office Light"/>
      </rPr>
      <t>Reduced Pedestrian Right-of-Way Recognition</t>
    </r>
  </si>
  <si>
    <r>
      <t xml:space="preserve">    </t>
    </r>
    <r>
      <rPr>
        <sz val="11"/>
        <color rgb="FF000000"/>
        <rFont val="RTA Office Light"/>
      </rPr>
      <t>i.</t>
    </r>
    <r>
      <rPr>
        <sz val="7"/>
        <color rgb="FF000000"/>
        <rFont val="Times New Roman"/>
        <family val="1"/>
      </rPr>
      <t xml:space="preserve">      </t>
    </r>
    <r>
      <rPr>
        <sz val="11"/>
        <color rgb="FF000000"/>
        <rFont val="RTA Office Light"/>
      </rPr>
      <t>Proactive Maintenance and Inspection Programs</t>
    </r>
  </si>
  <si>
    <t>1. It is recommended to establish and follow a regular inspection schedule to detect and resolve faded pavement markings promptly.</t>
  </si>
  <si>
    <t>2. Invest in predictive maintenance technologies, such as condition monitoring systems, to detect early signs of deterioration and prioritize maintenance efforts.</t>
  </si>
  <si>
    <t>3. It is important to establish partnerships with maintenance contractors or specialized firms to ensure timely and efficient reapplication of pavement markings using high-quality materials.</t>
  </si>
  <si>
    <t>R006</t>
  </si>
  <si>
    <r>
      <t>F.</t>
    </r>
    <r>
      <rPr>
        <b/>
        <sz val="7"/>
        <color rgb="FF000000"/>
        <rFont val="Times New Roman"/>
        <family val="1"/>
      </rPr>
      <t xml:space="preserve">    </t>
    </r>
    <r>
      <rPr>
        <b/>
        <sz val="11"/>
        <color rgb="FF000000"/>
        <rFont val="RTA Office Light"/>
      </rPr>
      <t>Technological Impairments Due to Faded Road Markings (Higher Functional Class)</t>
    </r>
  </si>
  <si>
    <t>1. Ineffective Lane-Keeping Assistance (ADAS = Advanced Driving Assistance System)</t>
  </si>
  <si>
    <t>2. Risk of Unintended Lane Changes</t>
  </si>
  <si>
    <t>3. Loss of Confidence in Driver Assistance Systems</t>
  </si>
  <si>
    <r>
      <t>1.</t>
    </r>
    <r>
      <rPr>
        <sz val="7"/>
        <color theme="1"/>
        <rFont val="Times New Roman"/>
        <family val="1"/>
      </rPr>
      <t xml:space="preserve">        </t>
    </r>
    <r>
      <rPr>
        <sz val="11"/>
        <color rgb="FF000000"/>
        <rFont val="RTA Office Light"/>
      </rPr>
      <t>Regular testing and validation ensure ADAS features are compatible and calibrated with existing pavement markings.</t>
    </r>
  </si>
  <si>
    <r>
      <t>2.</t>
    </r>
    <r>
      <rPr>
        <sz val="7"/>
        <color rgb="FF000000"/>
        <rFont val="Times New Roman"/>
        <family val="1"/>
      </rPr>
      <t xml:space="preserve">      </t>
    </r>
    <r>
      <rPr>
        <sz val="11"/>
        <color rgb="FF000000"/>
        <rFont val="RTA Office Light"/>
      </rPr>
      <t>It is crucial to establish partnerships with automotive manufacturers and technology developers to exchange data and insights on the performance of Advanced Driver Assistance Systems (ADAS) in real-world driving scenarios.</t>
    </r>
  </si>
  <si>
    <t>Road Marking Material Supplier and Installer, RFMD Maintenance Team and the Maintenance Contractor</t>
  </si>
  <si>
    <t>R007</t>
  </si>
  <si>
    <r>
      <t>G.</t>
    </r>
    <r>
      <rPr>
        <b/>
        <sz val="7"/>
        <color rgb="FF000000"/>
        <rFont val="Times New Roman"/>
        <family val="1"/>
      </rPr>
      <t xml:space="preserve">   </t>
    </r>
    <r>
      <rPr>
        <b/>
        <sz val="11"/>
        <color rgb="FF000000"/>
        <rFont val="RTA Office Light"/>
      </rPr>
      <t>Risks Impacting Dubai’s Future Vision Regarding Autonomous Vehicles</t>
    </r>
  </si>
  <si>
    <t>1. Impaired Autonomous Vehicle Navigation</t>
  </si>
  <si>
    <t>2. Misinterpretation of Lane Boundaries</t>
  </si>
  <si>
    <t>3. Increased Collision Risk</t>
  </si>
  <si>
    <t>4. Reduced Operational Efficiency</t>
  </si>
  <si>
    <t>5. Compromised Inter-vehicle Communication</t>
  </si>
  <si>
    <t>6. Degraded Performance of Advanced Driver Assistance Systems (ADAS)</t>
  </si>
  <si>
    <t>7. Challenges for Mapping and Localization</t>
  </si>
  <si>
    <t>1. Regular Inspection and Maintenance</t>
  </si>
  <si>
    <t>2. Regular testing and validation ensure ADAS features are compatible and calibrated with existing pavement markings.</t>
  </si>
  <si>
    <t>3. It is crucial to establish partnerships with automotive manufacturers and technology developers to exchange data and insights on the performance of Advanced Driver Assistance Systems (ADAS) in real-world driving scenarios.</t>
  </si>
  <si>
    <t>R008</t>
  </si>
  <si>
    <r>
      <t>H.</t>
    </r>
    <r>
      <rPr>
        <b/>
        <sz val="7"/>
        <color rgb="FF000000"/>
        <rFont val="Times New Roman"/>
        <family val="1"/>
      </rPr>
      <t xml:space="preserve">   </t>
    </r>
    <r>
      <rPr>
        <b/>
        <sz val="11"/>
        <color rgb="FF000000"/>
        <rFont val="RTA Office Light"/>
      </rPr>
      <t>Effect on Worldwide Standing</t>
    </r>
  </si>
  <si>
    <t>1. Negative Perception and Reputation Damage</t>
  </si>
  <si>
    <r>
      <t>1.</t>
    </r>
    <r>
      <rPr>
        <sz val="7"/>
        <color rgb="FF000000"/>
        <rFont val="Times New Roman"/>
        <family val="1"/>
      </rPr>
      <t xml:space="preserve">        </t>
    </r>
    <r>
      <rPr>
        <sz val="11"/>
        <color rgb="FF000000"/>
        <rFont val="RTA Office Light"/>
      </rPr>
      <t>To mitigate the impact on the agency's reputation and world standings due to faded pavement markings, several strategies can be implemented</t>
    </r>
  </si>
  <si>
    <r>
      <t>2.</t>
    </r>
    <r>
      <rPr>
        <sz val="7"/>
        <color rgb="FF000000"/>
        <rFont val="Times New Roman"/>
        <family val="1"/>
      </rPr>
      <t xml:space="preserve">   </t>
    </r>
    <r>
      <rPr>
        <sz val="11"/>
        <color rgb="FF000000"/>
        <rFont val="RTA Office Light"/>
      </rPr>
      <t>Regular Maintenance and Inspection</t>
    </r>
  </si>
  <si>
    <r>
      <t>3.</t>
    </r>
    <r>
      <rPr>
        <sz val="7"/>
        <color rgb="FF000000"/>
        <rFont val="Times New Roman"/>
        <family val="1"/>
      </rPr>
      <t xml:space="preserve">   </t>
    </r>
    <r>
      <rPr>
        <sz val="11"/>
        <color rgb="FF000000"/>
        <rFont val="RTA Office Light"/>
      </rPr>
      <t>Investment in High-Quality Materials</t>
    </r>
  </si>
  <si>
    <r>
      <t>4.</t>
    </r>
    <r>
      <rPr>
        <sz val="7"/>
        <color rgb="FF000000"/>
        <rFont val="Times New Roman"/>
        <family val="1"/>
      </rPr>
      <t xml:space="preserve">   </t>
    </r>
    <r>
      <rPr>
        <sz val="11"/>
        <color rgb="FF000000"/>
        <rFont val="RTA Office Light"/>
      </rPr>
      <t>Utilization of Innovative Marking Technologies</t>
    </r>
  </si>
  <si>
    <r>
      <t>5.</t>
    </r>
    <r>
      <rPr>
        <sz val="7"/>
        <color rgb="FF000000"/>
        <rFont val="Times New Roman"/>
        <family val="1"/>
      </rPr>
      <t xml:space="preserve">   </t>
    </r>
    <r>
      <rPr>
        <sz val="11"/>
        <color rgb="FF000000"/>
        <rFont val="RTA Office Light"/>
      </rPr>
      <t>Performance Monitoring and Accountability</t>
    </r>
  </si>
  <si>
    <r>
      <t>6.</t>
    </r>
    <r>
      <rPr>
        <sz val="7"/>
        <color rgb="FF000000"/>
        <rFont val="Times New Roman"/>
        <family val="1"/>
      </rPr>
      <t xml:space="preserve">   </t>
    </r>
    <r>
      <rPr>
        <sz val="11"/>
        <color rgb="FF000000"/>
        <rFont val="RTA Office Light"/>
      </rPr>
      <t>Public Awareness and Engagement</t>
    </r>
  </si>
  <si>
    <r>
      <t>7.</t>
    </r>
    <r>
      <rPr>
        <sz val="7"/>
        <color rgb="FF000000"/>
        <rFont val="Times New Roman"/>
        <family val="1"/>
      </rPr>
      <t xml:space="preserve">   </t>
    </r>
    <r>
      <rPr>
        <sz val="11"/>
        <color rgb="FF000000"/>
        <rFont val="RTA Office Light"/>
      </rPr>
      <t>Collaboration with Stakeholders</t>
    </r>
  </si>
  <si>
    <r>
      <t>8.</t>
    </r>
    <r>
      <rPr>
        <sz val="7"/>
        <color rgb="FF000000"/>
        <rFont val="Times New Roman"/>
        <family val="1"/>
      </rPr>
      <t xml:space="preserve">   </t>
    </r>
    <r>
      <rPr>
        <sz val="11"/>
        <color rgb="FF000000"/>
        <rFont val="RTA Office Light"/>
      </rPr>
      <t>Transparency and Communication</t>
    </r>
  </si>
  <si>
    <r>
      <t>9.</t>
    </r>
    <r>
      <rPr>
        <sz val="7"/>
        <color rgb="FF000000"/>
        <rFont val="Times New Roman"/>
        <family val="1"/>
      </rPr>
      <t xml:space="preserve">   </t>
    </r>
    <r>
      <rPr>
        <sz val="11"/>
        <color rgb="FF000000"/>
        <rFont val="RTA Office Light"/>
      </rPr>
      <t>Benchmarking against International Standards</t>
    </r>
  </si>
  <si>
    <t>10. Performance-Based Contracts and Incentives</t>
  </si>
  <si>
    <t xml:space="preserve">Physical Asset Failures </t>
  </si>
  <si>
    <t>Regular inspections and maintenance; use of durable materials in construction; early replacement of parts showing wear.</t>
  </si>
  <si>
    <t>Security measures such as CCTV, lighting, and alarms; engagement with local communities; rapid response plans.</t>
  </si>
  <si>
    <t>Implement protective barriers; enforce traffic regulations; design gantries with safety features to minimize impact damage.</t>
  </si>
  <si>
    <t>Regular electrical and mechanical inspections; redundant systems for critical components; training for emergency response.</t>
  </si>
  <si>
    <t>Operational Risk Events</t>
  </si>
  <si>
    <t>Implement lean management practices; continuous training for staff; adopt technology solutions for efficiency.</t>
  </si>
  <si>
    <t>Establish clear communication channels; regular updates and reports to stakeholders; stakeholder engagement programs.</t>
  </si>
  <si>
    <r>
      <t>1.</t>
    </r>
    <r>
      <rPr>
        <sz val="7"/>
        <color theme="1"/>
        <rFont val="Dubai"/>
        <family val="2"/>
      </rPr>
      <t xml:space="preserve">       </t>
    </r>
    <r>
      <rPr>
        <sz val="11"/>
        <color rgb="FF000000"/>
        <rFont val="Dubai"/>
        <family val="2"/>
      </rPr>
      <t>Implement regular inspections following extreme weather events to assess Road Stud to remove accumulated sand from road studs.</t>
    </r>
  </si>
  <si>
    <r>
      <t>2.</t>
    </r>
    <r>
      <rPr>
        <sz val="7"/>
        <color theme="1"/>
        <rFont val="Dubai"/>
        <family val="2"/>
      </rPr>
      <t xml:space="preserve">       </t>
    </r>
    <r>
      <rPr>
        <sz val="11"/>
        <color rgb="FF000000"/>
        <rFont val="Dubai"/>
        <family val="2"/>
      </rPr>
      <t>Use high-quality reflective materials that maintain visibility even when partially covered by sand.</t>
    </r>
  </si>
  <si>
    <r>
      <t>1.</t>
    </r>
    <r>
      <rPr>
        <sz val="7"/>
        <color rgb="FF000000"/>
        <rFont val="Dubai"/>
        <family val="2"/>
      </rPr>
      <t xml:space="preserve">          </t>
    </r>
    <r>
      <rPr>
        <sz val="11"/>
        <color rgb="FF000000"/>
        <rFont val="Dubai"/>
        <family val="2"/>
      </rPr>
      <t>Regular Inspection and Maintenance after heating events to assess damage done to Road Studs.</t>
    </r>
  </si>
  <si>
    <r>
      <t>a.</t>
    </r>
    <r>
      <rPr>
        <sz val="7"/>
        <color rgb="FF000000"/>
        <rFont val="Dubai"/>
        <family val="2"/>
      </rPr>
      <t xml:space="preserve">    </t>
    </r>
    <r>
      <rPr>
        <sz val="11"/>
        <color rgb="FF000000"/>
        <rFont val="Dubai"/>
        <family val="2"/>
      </rPr>
      <t>Material degradation, due to prolonged exposure to high temperature.</t>
    </r>
  </si>
  <si>
    <r>
      <t>2.</t>
    </r>
    <r>
      <rPr>
        <sz val="7"/>
        <color rgb="FF000000"/>
        <rFont val="Dubai"/>
        <family val="2"/>
      </rPr>
      <t xml:space="preserve">        </t>
    </r>
    <r>
      <rPr>
        <sz val="11"/>
        <color rgb="FF000000"/>
        <rFont val="Dubai"/>
        <family val="2"/>
      </rPr>
      <t xml:space="preserve">Implement UV resistant coatings to reflective surfaces, to protect the surface of the Road Studs and not expose metal components. </t>
    </r>
  </si>
  <si>
    <r>
      <t>b.</t>
    </r>
    <r>
      <rPr>
        <sz val="7"/>
        <color rgb="FF000000"/>
        <rFont val="Dubai"/>
        <family val="2"/>
      </rPr>
      <t xml:space="preserve">    </t>
    </r>
    <r>
      <rPr>
        <sz val="11"/>
        <color rgb="FF000000"/>
        <rFont val="Dubai"/>
        <family val="2"/>
      </rPr>
      <t>Colour fading caused by high heat, wearing off the paint</t>
    </r>
  </si>
  <si>
    <r>
      <t>1</t>
    </r>
    <r>
      <rPr>
        <sz val="7"/>
        <color rgb="FF000000"/>
        <rFont val="Dubai"/>
        <family val="2"/>
      </rPr>
      <t xml:space="preserve">     </t>
    </r>
    <r>
      <rPr>
        <sz val="11"/>
        <color rgb="FF000000"/>
        <rFont val="Dubai"/>
        <family val="2"/>
      </rPr>
      <t>Structural failure of gantry due to wear and tear</t>
    </r>
  </si>
  <si>
    <r>
      <t>2</t>
    </r>
    <r>
      <rPr>
        <sz val="7"/>
        <color rgb="FF000000"/>
        <rFont val="Dubai"/>
        <family val="2"/>
      </rPr>
      <t xml:space="preserve">     </t>
    </r>
    <r>
      <rPr>
        <sz val="11"/>
        <color rgb="FF000000"/>
        <rFont val="Dubai"/>
        <family val="2"/>
      </rPr>
      <t>Vandalism or theft</t>
    </r>
  </si>
  <si>
    <r>
      <t>3</t>
    </r>
    <r>
      <rPr>
        <sz val="7"/>
        <color rgb="FF000000"/>
        <rFont val="Dubai"/>
        <family val="2"/>
      </rPr>
      <t xml:space="preserve">     </t>
    </r>
    <r>
      <rPr>
        <sz val="11"/>
        <color rgb="FF000000"/>
        <rFont val="Dubai"/>
        <family val="2"/>
      </rPr>
      <t>Damage from vehicles</t>
    </r>
  </si>
  <si>
    <r>
      <t>4</t>
    </r>
    <r>
      <rPr>
        <sz val="7"/>
        <color rgb="FF000000"/>
        <rFont val="Dubai"/>
        <family val="2"/>
      </rPr>
      <t xml:space="preserve">     </t>
    </r>
    <r>
      <rPr>
        <sz val="11"/>
        <color rgb="FF000000"/>
        <rFont val="Dubai"/>
        <family val="2"/>
      </rPr>
      <t>Electrical and mechanical failures</t>
    </r>
  </si>
  <si>
    <r>
      <t>1</t>
    </r>
    <r>
      <rPr>
        <sz val="7"/>
        <color rgb="FF000000"/>
        <rFont val="Dubai"/>
        <family val="2"/>
      </rPr>
      <t xml:space="preserve">     </t>
    </r>
    <r>
      <rPr>
        <sz val="11"/>
        <color rgb="FF000000"/>
        <rFont val="Dubai"/>
        <family val="2"/>
      </rPr>
      <t>Operational inefficiencies leading to delays</t>
    </r>
  </si>
  <si>
    <r>
      <t>2</t>
    </r>
    <r>
      <rPr>
        <sz val="7"/>
        <color rgb="FF000000"/>
        <rFont val="Dubai"/>
        <family val="2"/>
      </rPr>
      <t xml:space="preserve">     </t>
    </r>
    <r>
      <rPr>
        <sz val="11"/>
        <color rgb="FF000000"/>
        <rFont val="Dubai"/>
        <family val="2"/>
      </rPr>
      <t>Miscommunication with stakeholders</t>
    </r>
  </si>
  <si>
    <r>
      <t>a.</t>
    </r>
    <r>
      <rPr>
        <sz val="7"/>
        <color theme="1"/>
        <rFont val="Dubai"/>
        <family val="2"/>
      </rPr>
      <t xml:space="preserve">       </t>
    </r>
    <r>
      <rPr>
        <sz val="11"/>
        <color rgb="FF000000"/>
        <rFont val="Dubai"/>
        <family val="2"/>
      </rPr>
      <t>Sandstorms cause abrasion and erosion on the surface of the Road Gantry, reducing their visibility.</t>
    </r>
  </si>
  <si>
    <r>
      <t>a.</t>
    </r>
    <r>
      <rPr>
        <sz val="7"/>
        <color theme="1"/>
        <rFont val="Dubai"/>
        <family val="2"/>
      </rPr>
      <t xml:space="preserve">    </t>
    </r>
    <r>
      <rPr>
        <sz val="11"/>
        <color rgb="FF000000"/>
        <rFont val="Dubai"/>
        <family val="2"/>
      </rPr>
      <t>Floodwater often carries debris, which can impact damage</t>
    </r>
  </si>
  <si>
    <r>
      <t>b.</t>
    </r>
    <r>
      <rPr>
        <sz val="7"/>
        <color theme="1"/>
        <rFont val="Dubai"/>
        <family val="2"/>
      </rPr>
      <t xml:space="preserve">   </t>
    </r>
    <r>
      <rPr>
        <sz val="11"/>
        <color rgb="FF000000"/>
        <rFont val="Dubai"/>
        <family val="2"/>
      </rPr>
      <t>The sheer weight of water during a flood can put additional stress on the Road Gantry structure, potentially causing cracks or failure.</t>
    </r>
  </si>
  <si>
    <r>
      <t>1.</t>
    </r>
    <r>
      <rPr>
        <sz val="7"/>
        <color theme="1"/>
        <rFont val="Dubai"/>
        <family val="2"/>
      </rPr>
      <t xml:space="preserve">        </t>
    </r>
    <r>
      <rPr>
        <sz val="11"/>
        <color rgb="FF000000"/>
        <rFont val="Dubai"/>
        <family val="2"/>
      </rPr>
      <t xml:space="preserve">Incorporate climate resilience into asset design and maintenance strategies to improve durability and ensure adaptability to changing environmental conditions, thereby safeguarding the infrastructure of the Road Studs. </t>
    </r>
  </si>
  <si>
    <r>
      <t>2.</t>
    </r>
    <r>
      <rPr>
        <sz val="7"/>
        <color rgb="FF000000"/>
        <rFont val="Dubai"/>
        <family val="2"/>
      </rPr>
      <t xml:space="preserve">      </t>
    </r>
    <r>
      <rPr>
        <sz val="11"/>
        <color rgb="FF000000"/>
        <rFont val="Dubai"/>
        <family val="2"/>
      </rPr>
      <t>Conduct frequent inspections to identify and address damaged Road Studs promptly.</t>
    </r>
  </si>
  <si>
    <r>
      <t>1.</t>
    </r>
    <r>
      <rPr>
        <sz val="7"/>
        <color theme="1"/>
        <rFont val="Dubai"/>
        <family val="2"/>
      </rPr>
      <t xml:space="preserve">        </t>
    </r>
    <r>
      <rPr>
        <sz val="11"/>
        <color rgb="FF000000"/>
        <rFont val="Dubai"/>
        <family val="2"/>
      </rPr>
      <t xml:space="preserve"> Imposing stringent specifications for supply and installation.</t>
    </r>
  </si>
  <si>
    <r>
      <t>a.</t>
    </r>
    <r>
      <rPr>
        <sz val="7"/>
        <color theme="1"/>
        <rFont val="Dubai"/>
        <family val="2"/>
      </rPr>
      <t xml:space="preserve">       </t>
    </r>
    <r>
      <rPr>
        <sz val="11"/>
        <color rgb="FF000000"/>
        <rFont val="Dubai"/>
        <family val="2"/>
      </rPr>
      <t>Premature degradation and deterioration.</t>
    </r>
  </si>
  <si>
    <r>
      <t>2.</t>
    </r>
    <r>
      <rPr>
        <sz val="7"/>
        <color theme="1"/>
        <rFont val="Dubai"/>
        <family val="2"/>
      </rPr>
      <t xml:space="preserve">      </t>
    </r>
    <r>
      <rPr>
        <sz val="11"/>
        <color rgb="FF000000"/>
        <rFont val="Dubai"/>
        <family val="2"/>
      </rPr>
      <t>Setting up an adequate warranty period in the material supply and installation contract.</t>
    </r>
  </si>
  <si>
    <r>
      <t>b.</t>
    </r>
    <r>
      <rPr>
        <sz val="7"/>
        <color theme="1"/>
        <rFont val="Dubai"/>
        <family val="2"/>
      </rPr>
      <t xml:space="preserve">      </t>
    </r>
    <r>
      <rPr>
        <sz val="11"/>
        <color rgb="FF000000"/>
        <rFont val="Dubai"/>
        <family val="2"/>
      </rPr>
      <t>Increased maintenance cost during life cycle.</t>
    </r>
  </si>
  <si>
    <r>
      <t>3.</t>
    </r>
    <r>
      <rPr>
        <sz val="7"/>
        <color theme="1"/>
        <rFont val="Dubai"/>
        <family val="2"/>
      </rPr>
      <t xml:space="preserve">      </t>
    </r>
    <r>
      <rPr>
        <sz val="11"/>
        <color rgb="FF000000"/>
        <rFont val="Dubai"/>
        <family val="2"/>
      </rPr>
      <t>Introduction of performance-based contracting.</t>
    </r>
  </si>
  <si>
    <r>
      <t>c.</t>
    </r>
    <r>
      <rPr>
        <sz val="7"/>
        <color theme="1"/>
        <rFont val="Dubai"/>
        <family val="2"/>
      </rPr>
      <t xml:space="preserve">       </t>
    </r>
    <r>
      <rPr>
        <sz val="11"/>
        <color rgb="FF000000"/>
        <rFont val="Dubai"/>
        <family val="2"/>
      </rPr>
      <t>Indirect effect on the maintenance budget due to extra expenditure on maintenance of Road Studs.</t>
    </r>
  </si>
  <si>
    <r>
      <t>1.</t>
    </r>
    <r>
      <rPr>
        <sz val="7"/>
        <color theme="1"/>
        <rFont val="Dubai"/>
        <family val="2"/>
      </rPr>
      <t xml:space="preserve">        </t>
    </r>
    <r>
      <rPr>
        <sz val="11"/>
        <color rgb="FF000000"/>
        <rFont val="Dubai"/>
        <family val="2"/>
      </rPr>
      <t>Increase surveillance and security measures in areas prone to vandalism, such as remote or poorly lit locations, to deter unauthorized access and vandalism attempts.</t>
    </r>
  </si>
  <si>
    <r>
      <t>2.</t>
    </r>
    <r>
      <rPr>
        <sz val="7"/>
        <color theme="1"/>
        <rFont val="Dubai"/>
        <family val="2"/>
      </rPr>
      <t xml:space="preserve">      </t>
    </r>
    <r>
      <rPr>
        <sz val="11"/>
        <color rgb="FF000000"/>
        <rFont val="Dubai"/>
        <family val="2"/>
      </rPr>
      <t>Implement anti-defacing coatings on Road Studs to facilitate easier clean-up and discourage future vandalism.</t>
    </r>
  </si>
  <si>
    <t>Environmental and Climate Change can damage the Road Gantry over time, causing deterioration.</t>
  </si>
  <si>
    <r>
      <t>a.</t>
    </r>
    <r>
      <rPr>
        <sz val="7"/>
        <color theme="1"/>
        <rFont val="Dubai"/>
        <family val="2"/>
      </rPr>
      <t xml:space="preserve">       </t>
    </r>
    <r>
      <rPr>
        <sz val="11"/>
        <color rgb="FF000000"/>
        <rFont val="Dubai"/>
        <family val="2"/>
      </rPr>
      <t>Deliberate tampering with Road Gantry components by vandals or malicious actors.</t>
    </r>
  </si>
  <si>
    <r>
      <t>b.</t>
    </r>
    <r>
      <rPr>
        <sz val="7"/>
        <color theme="1"/>
        <rFont val="Dubai"/>
        <family val="2"/>
      </rPr>
      <t xml:space="preserve">      </t>
    </r>
    <r>
      <rPr>
        <sz val="11"/>
        <color rgb="FF000000"/>
        <rFont val="Dubai"/>
        <family val="2"/>
      </rPr>
      <t>Forms of defacement on Road Gantry surfaces, impairing visibility and aesthetics.</t>
    </r>
  </si>
  <si>
    <r>
      <t>1.</t>
    </r>
    <r>
      <rPr>
        <b/>
        <sz val="7"/>
        <color rgb="FF000000"/>
        <rFont val="Times New Roman"/>
        <family val="1"/>
      </rPr>
      <t xml:space="preserve">   </t>
    </r>
    <r>
      <rPr>
        <b/>
        <sz val="11"/>
        <color rgb="FF000000"/>
        <rFont val="RTA Office Light"/>
      </rPr>
      <t>Sandstorms</t>
    </r>
  </si>
  <si>
    <r>
      <t>a.</t>
    </r>
    <r>
      <rPr>
        <sz val="7"/>
        <color theme="1"/>
        <rFont val="Times New Roman"/>
        <family val="1"/>
      </rPr>
      <t xml:space="preserve">    </t>
    </r>
    <r>
      <rPr>
        <sz val="11"/>
        <color rgb="FF000000"/>
        <rFont val="RTA Office Light"/>
      </rPr>
      <t>Sandstorms causing damage or weakening of fence posts.</t>
    </r>
  </si>
  <si>
    <r>
      <t>b.</t>
    </r>
    <r>
      <rPr>
        <sz val="7"/>
        <color theme="1"/>
        <rFont val="Times New Roman"/>
        <family val="1"/>
      </rPr>
      <t xml:space="preserve">   </t>
    </r>
    <r>
      <rPr>
        <sz val="11"/>
        <color rgb="FF000000"/>
        <rFont val="RTA Office Light"/>
      </rPr>
      <t xml:space="preserve">Clogging of joints and hinges </t>
    </r>
  </si>
  <si>
    <r>
      <t>c.</t>
    </r>
    <r>
      <rPr>
        <sz val="7"/>
        <color theme="1"/>
        <rFont val="Times New Roman"/>
        <family val="1"/>
      </rPr>
      <t xml:space="preserve">    </t>
    </r>
    <r>
      <rPr>
        <sz val="11"/>
        <color rgb="FF000000"/>
        <rFont val="RTA Office Light"/>
      </rPr>
      <t>Surface scratches or paint damage</t>
    </r>
  </si>
  <si>
    <r>
      <t>1.</t>
    </r>
    <r>
      <rPr>
        <sz val="7"/>
        <color rgb="FF000000"/>
        <rFont val="Times New Roman"/>
        <family val="1"/>
      </rPr>
      <t xml:space="preserve">          </t>
    </r>
    <r>
      <rPr>
        <sz val="11"/>
        <color rgb="FF000000"/>
        <rFont val="RTA Office Light"/>
      </rPr>
      <t>Regular Inspection and Maintenance after sandstorm events to assess damage done to the Fence.</t>
    </r>
  </si>
  <si>
    <r>
      <t>2.</t>
    </r>
    <r>
      <rPr>
        <sz val="7"/>
        <color rgb="FF000000"/>
        <rFont val="Times New Roman"/>
        <family val="1"/>
      </rPr>
      <t xml:space="preserve">        </t>
    </r>
    <r>
      <rPr>
        <sz val="11"/>
        <color rgb="FF000000"/>
        <rFont val="RTA Office Light"/>
      </rPr>
      <t>Add surface protection to protect against sand erosion</t>
    </r>
  </si>
  <si>
    <r>
      <t>3.</t>
    </r>
    <r>
      <rPr>
        <sz val="7"/>
        <color rgb="FF000000"/>
        <rFont val="Times New Roman"/>
        <family val="1"/>
      </rPr>
      <t xml:space="preserve">        </t>
    </r>
    <r>
      <rPr>
        <sz val="11"/>
        <color rgb="FF000000"/>
        <rFont val="RTA Office Light"/>
      </rPr>
      <t>Strengthen the foundation and anchoring of fence posts to ensure they can withstand high winds. This can involve deeper posts, concrete footings, or additional bracing.</t>
    </r>
  </si>
  <si>
    <t>2. Utilize flexible joints and hinges that can tolerate the infiltration of sand without seizing up. Regular lubrication of these parts can also help maintain their functionality.</t>
  </si>
  <si>
    <r>
      <t>a.</t>
    </r>
    <r>
      <rPr>
        <sz val="7"/>
        <color theme="1"/>
        <rFont val="Times New Roman"/>
        <family val="1"/>
      </rPr>
      <t xml:space="preserve">    </t>
    </r>
    <r>
      <rPr>
        <sz val="11"/>
        <color rgb="FF000000"/>
        <rFont val="RTA Office Light"/>
      </rPr>
      <t>Heavy rainfall can result in flooding, which can damage the Fence, causing erosion, deterioration and compromising safety.</t>
    </r>
  </si>
  <si>
    <r>
      <t>b.</t>
    </r>
    <r>
      <rPr>
        <sz val="7"/>
        <color theme="1"/>
        <rFont val="Times New Roman"/>
        <family val="1"/>
      </rPr>
      <t xml:space="preserve">   </t>
    </r>
    <r>
      <rPr>
        <sz val="11"/>
        <color rgb="FF000000"/>
        <rFont val="RTA Office Light"/>
      </rPr>
      <t>Debris Accumulation</t>
    </r>
  </si>
  <si>
    <r>
      <t>c.</t>
    </r>
    <r>
      <rPr>
        <sz val="7"/>
        <color theme="1"/>
        <rFont val="Times New Roman"/>
        <family val="1"/>
      </rPr>
      <t xml:space="preserve">    </t>
    </r>
    <r>
      <rPr>
        <sz val="11"/>
        <color rgb="FF000000"/>
        <rFont val="RTA Office Light"/>
      </rPr>
      <t>Structural Instability, as water and dive into the soil makes the base structure unstable.</t>
    </r>
  </si>
  <si>
    <t>1. Regular Inspection and Maintenance after flooding events to assess damage done to Fence.</t>
  </si>
  <si>
    <t>2. Enhanced drainage system.</t>
  </si>
  <si>
    <t>3. Strategic Planning and Design considering historical flood return periods, ensuring recurring damage does not repeat.</t>
  </si>
  <si>
    <t>4. Considering Flood-Resilient Infrastructure During Planning and Design to increase its protection.</t>
  </si>
  <si>
    <t>RTA planning and design section, design consultants and contractors.</t>
  </si>
  <si>
    <r>
      <t>a.</t>
    </r>
    <r>
      <rPr>
        <sz val="7"/>
        <color rgb="FF000000"/>
        <rFont val="Times New Roman"/>
        <family val="1"/>
      </rPr>
      <t xml:space="preserve">       </t>
    </r>
    <r>
      <rPr>
        <sz val="11"/>
        <color rgb="FF000000"/>
        <rFont val="RTA Office Light"/>
      </rPr>
      <t>Material degradation if Fence suffers from prolonged heat temperatures.</t>
    </r>
  </si>
  <si>
    <r>
      <t>b.</t>
    </r>
    <r>
      <rPr>
        <sz val="7"/>
        <color rgb="FF000000"/>
        <rFont val="Times New Roman"/>
        <family val="1"/>
      </rPr>
      <t xml:space="preserve">      </t>
    </r>
    <r>
      <rPr>
        <sz val="11"/>
        <color rgb="FF000000"/>
        <rFont val="RTA Office Light"/>
      </rPr>
      <t>Colour fading, as paint colour can wear off</t>
    </r>
  </si>
  <si>
    <r>
      <t>c.</t>
    </r>
    <r>
      <rPr>
        <sz val="7"/>
        <color rgb="FF000000"/>
        <rFont val="Times New Roman"/>
        <family val="1"/>
      </rPr>
      <t xml:space="preserve">       </t>
    </r>
    <r>
      <rPr>
        <sz val="11"/>
        <color rgb="FF000000"/>
        <rFont val="RTA Office Light"/>
      </rPr>
      <t>Thermal stress, due to the temperature change between daytime and nighttime hours.</t>
    </r>
  </si>
  <si>
    <r>
      <t>1.</t>
    </r>
    <r>
      <rPr>
        <sz val="7"/>
        <color rgb="FF000000"/>
        <rFont val="Times New Roman"/>
        <family val="1"/>
      </rPr>
      <t xml:space="preserve">          </t>
    </r>
    <r>
      <rPr>
        <sz val="11"/>
        <color rgb="FF000000"/>
        <rFont val="RTA Office Light"/>
      </rPr>
      <t>Regular Inspection and Maintenance to assess damage done to the Fence.</t>
    </r>
  </si>
  <si>
    <r>
      <t>2.</t>
    </r>
    <r>
      <rPr>
        <sz val="7"/>
        <color theme="1"/>
        <rFont val="Times New Roman"/>
        <family val="1"/>
      </rPr>
      <t xml:space="preserve">      </t>
    </r>
    <r>
      <rPr>
        <sz val="11"/>
        <color rgb="FF000000"/>
        <rFont val="RTA Office Light"/>
      </rPr>
      <t>Use heat-resistant materials that can withstand elevated temperatures, such as metal with appropriate coatings.</t>
    </r>
  </si>
  <si>
    <r>
      <t>2.</t>
    </r>
    <r>
      <rPr>
        <sz val="7"/>
        <color rgb="FF000000"/>
        <rFont val="Times New Roman"/>
        <family val="1"/>
      </rPr>
      <t xml:space="preserve">      </t>
    </r>
    <r>
      <rPr>
        <sz val="11"/>
        <color rgb="FF000000"/>
        <rFont val="RTA Office Light"/>
      </rPr>
      <t>Actively engage with policy makers to stay informed.</t>
    </r>
  </si>
  <si>
    <t>Environmental and Climate Change can damage the Fence over time, causing erosion and deterioration.</t>
  </si>
  <si>
    <t xml:space="preserve">1. Incorporate climate resilience into asset design and maintenance strategies to improve durability and ensure adaptability to changing environmental conditions, thereby safeguarding the infrastructure of the Fence. </t>
  </si>
  <si>
    <t>Conduct frequent inspections to identify and address damaged Fence promptly.</t>
  </si>
  <si>
    <r>
      <t>c.</t>
    </r>
    <r>
      <rPr>
        <sz val="7"/>
        <color theme="1"/>
        <rFont val="Times New Roman"/>
        <family val="1"/>
      </rPr>
      <t xml:space="preserve">       </t>
    </r>
    <r>
      <rPr>
        <sz val="11"/>
        <color rgb="FF000000"/>
        <rFont val="RTA Office Light"/>
      </rPr>
      <t>Indirect effect on the maintenance budget due to extra expenditure on maintenance of Fence.</t>
    </r>
  </si>
  <si>
    <r>
      <t>3.</t>
    </r>
    <r>
      <rPr>
        <sz val="7"/>
        <color theme="1"/>
        <rFont val="Times New Roman"/>
        <family val="1"/>
      </rPr>
      <t xml:space="preserve">        </t>
    </r>
    <r>
      <rPr>
        <sz val="11"/>
        <color rgb="FF000000"/>
        <rFont val="RTA Office Light"/>
      </rPr>
      <t>Introduction of performance-based contracting.</t>
    </r>
  </si>
  <si>
    <r>
      <t>a.</t>
    </r>
    <r>
      <rPr>
        <sz val="7"/>
        <color theme="1"/>
        <rFont val="Times New Roman"/>
        <family val="1"/>
      </rPr>
      <t xml:space="preserve">    </t>
    </r>
    <r>
      <rPr>
        <sz val="11"/>
        <color rgb="FF000000"/>
        <rFont val="RTA Office Light"/>
      </rPr>
      <t>Deliberate tampering with fence by vandals or malicious actors.</t>
    </r>
  </si>
  <si>
    <r>
      <t>b.</t>
    </r>
    <r>
      <rPr>
        <sz val="7"/>
        <color theme="1"/>
        <rFont val="Times New Roman"/>
        <family val="1"/>
      </rPr>
      <t xml:space="preserve">    </t>
    </r>
    <r>
      <rPr>
        <sz val="11"/>
        <color rgb="FF000000"/>
        <rFont val="RTA Office Light"/>
      </rPr>
      <t>Forms of defacement on fence surfaces, impairing visibility, and aesthetics.</t>
    </r>
  </si>
  <si>
    <r>
      <t>a.</t>
    </r>
    <r>
      <rPr>
        <sz val="7"/>
        <color theme="1"/>
        <rFont val="Times New Roman"/>
        <family val="1"/>
      </rPr>
      <t xml:space="preserve">       </t>
    </r>
    <r>
      <rPr>
        <sz val="11"/>
        <color rgb="FF000000"/>
        <rFont val="RTA Office Light"/>
      </rPr>
      <t>Corrosion of fence components due to exposure to salt spray from coastal areas or chemical runoff from nearby roadways.</t>
    </r>
  </si>
  <si>
    <r>
      <t>b.</t>
    </r>
    <r>
      <rPr>
        <sz val="7"/>
        <color theme="1"/>
        <rFont val="Times New Roman"/>
        <family val="1"/>
      </rPr>
      <t xml:space="preserve">      </t>
    </r>
    <r>
      <rPr>
        <sz val="11"/>
        <color rgb="FF000000"/>
        <rFont val="RTA Office Light"/>
      </rPr>
      <t>Deterioration of fence coatings or finishes, reducing resistance to corrosion and compromising aesthetics.</t>
    </r>
  </si>
  <si>
    <r>
      <t>1.</t>
    </r>
    <r>
      <rPr>
        <sz val="7"/>
        <color theme="1"/>
        <rFont val="Times New Roman"/>
        <family val="1"/>
      </rPr>
      <t xml:space="preserve">        </t>
    </r>
    <r>
      <rPr>
        <sz val="11"/>
        <color rgb="FF000000"/>
        <rFont val="RTA Office Light"/>
      </rPr>
      <t>Regularly inspect Fence for signs of corrosion or deterioration, especially in areas prone to water accumulation.</t>
    </r>
  </si>
  <si>
    <r>
      <t>2.</t>
    </r>
    <r>
      <rPr>
        <sz val="7"/>
        <color theme="1"/>
        <rFont val="Times New Roman"/>
        <family val="1"/>
      </rPr>
      <t xml:space="preserve">      </t>
    </r>
    <r>
      <rPr>
        <sz val="11"/>
        <color rgb="FF000000"/>
        <rFont val="RTA Office Light"/>
      </rPr>
      <t>Implement corrosion protection measures such as protective coatings to extend the service life of fence components.</t>
    </r>
  </si>
  <si>
    <t>RFMD Inspection and Maintenance Team, Fence Material Supplier and Installer and the Maintenance Contractor</t>
  </si>
  <si>
    <t>2. Safety Concerns for Pedestrians</t>
  </si>
  <si>
    <t>Without a fully intact median fence, pedestrians are more likely to attempt crossing at unsafe locations, which increases their probability of being struck by vehicles.</t>
  </si>
  <si>
    <r>
      <t>1.</t>
    </r>
    <r>
      <rPr>
        <sz val="7"/>
        <color theme="1"/>
        <rFont val="Times New Roman"/>
        <family val="1"/>
      </rPr>
      <t xml:space="preserve">        </t>
    </r>
    <r>
      <rPr>
        <sz val="11"/>
        <color rgb="FF000000"/>
        <rFont val="RTA Office Light"/>
      </rPr>
      <t>Perform routine checks and promptly fix any damage to maintain the median fence's integrity.</t>
    </r>
  </si>
  <si>
    <r>
      <t>2.</t>
    </r>
    <r>
      <rPr>
        <sz val="7"/>
        <color theme="1"/>
        <rFont val="Times New Roman"/>
        <family val="1"/>
      </rPr>
      <t xml:space="preserve">      </t>
    </r>
    <r>
      <rPr>
        <sz val="11"/>
        <color rgb="FF000000"/>
        <rFont val="RTA Office Light"/>
      </rPr>
      <t>Use temporary barriers and clear signs to direct pedestrians to safe crossing points until repairs are completed.</t>
    </r>
  </si>
  <si>
    <t>Supplier and Installer and the Maintenance Contractor</t>
  </si>
  <si>
    <r>
      <t>a.</t>
    </r>
    <r>
      <rPr>
        <sz val="7"/>
        <color theme="1"/>
        <rFont val="Times New Roman"/>
        <family val="1"/>
      </rPr>
      <t xml:space="preserve">       </t>
    </r>
    <r>
      <rPr>
        <sz val="11"/>
        <color rgb="FF000000"/>
        <rFont val="RTA Office Light"/>
      </rPr>
      <t>Fence installations not meeting required standards may trigger early deteriorations.</t>
    </r>
  </si>
  <si>
    <r>
      <t>b.</t>
    </r>
    <r>
      <rPr>
        <sz val="7"/>
        <color theme="1"/>
        <rFont val="Times New Roman"/>
        <family val="1"/>
      </rPr>
      <t xml:space="preserve">      </t>
    </r>
    <r>
      <rPr>
        <sz val="11"/>
        <color rgb="FF000000"/>
        <rFont val="RTA Office Light"/>
      </rPr>
      <t>Fences that are not correctly installed may not withstand environmental stresses, leading to damage from wind, rain, and temperature fluctuations.</t>
    </r>
  </si>
  <si>
    <r>
      <t>1.</t>
    </r>
    <r>
      <rPr>
        <sz val="7"/>
        <color theme="1"/>
        <rFont val="Times New Roman"/>
        <family val="1"/>
      </rPr>
      <t xml:space="preserve">        </t>
    </r>
    <r>
      <rPr>
        <sz val="11"/>
        <color rgb="FF000000"/>
        <rFont val="RTA Office Light"/>
      </rPr>
      <t>Ensure compliance with relevant design standards and requirements during the planning and installation phases of fence projects.</t>
    </r>
  </si>
  <si>
    <r>
      <t>2.</t>
    </r>
    <r>
      <rPr>
        <sz val="7"/>
        <color theme="1"/>
        <rFont val="Times New Roman"/>
        <family val="1"/>
      </rPr>
      <t xml:space="preserve">      </t>
    </r>
    <r>
      <rPr>
        <sz val="11"/>
        <color rgb="FF000000"/>
        <rFont val="RTA Office Light"/>
      </rPr>
      <t xml:space="preserve">Conduct thorough site assessments to identify potential hazards and optimize fence placement. </t>
    </r>
  </si>
  <si>
    <r>
      <t>a.</t>
    </r>
    <r>
      <rPr>
        <sz val="7"/>
        <color theme="1"/>
        <rFont val="Times New Roman"/>
        <family val="1"/>
      </rPr>
      <t xml:space="preserve">       </t>
    </r>
    <r>
      <rPr>
        <sz val="11"/>
        <color rgb="FF000000"/>
        <rFont val="RTA Office Light"/>
      </rPr>
      <t>Lack of routine inspections leading to undetected defects or deterioration in fence components.</t>
    </r>
  </si>
  <si>
    <t>2. Establish a proactive maintenance program focused on preventive measures, such as cleaning and painting, to mitigate corrosion and prolong fence lifespan.</t>
  </si>
  <si>
    <r>
      <t>a.</t>
    </r>
    <r>
      <rPr>
        <sz val="7"/>
        <color theme="1"/>
        <rFont val="Times New Roman"/>
        <family val="1"/>
      </rPr>
      <t xml:space="preserve">       </t>
    </r>
    <r>
      <rPr>
        <sz val="11"/>
        <color rgb="FF000000"/>
        <rFont val="RTA Office Light"/>
      </rPr>
      <t>Delays in responding to reported fence damages due to ineffective communication or resource allocation.</t>
    </r>
  </si>
  <si>
    <r>
      <t>b.</t>
    </r>
    <r>
      <rPr>
        <sz val="7"/>
        <color theme="1"/>
        <rFont val="Times New Roman"/>
        <family val="1"/>
      </rPr>
      <t xml:space="preserve">      </t>
    </r>
    <r>
      <rPr>
        <sz val="11"/>
        <color rgb="FF000000"/>
        <rFont val="RTA Office Light"/>
      </rPr>
      <t>Lack of standardized procedures or protocols for assessing and prioritizing fence repairs, leading to inconsistent outcomes.</t>
    </r>
  </si>
  <si>
    <r>
      <t>1.</t>
    </r>
    <r>
      <rPr>
        <sz val="7"/>
        <color theme="1"/>
        <rFont val="Times New Roman"/>
        <family val="1"/>
      </rPr>
      <t xml:space="preserve">        </t>
    </r>
    <r>
      <rPr>
        <sz val="11"/>
        <color rgb="FF000000"/>
        <rFont val="RTA Office Light"/>
      </rPr>
      <t>Implement a centralized reporting system for documenting and tracking fence damage reports, streamlining communication, and ensuring timely responses.</t>
    </r>
  </si>
  <si>
    <r>
      <t>a.</t>
    </r>
    <r>
      <rPr>
        <sz val="7"/>
        <color theme="1"/>
        <rFont val="Times New Roman"/>
        <family val="1"/>
      </rPr>
      <t xml:space="preserve">       </t>
    </r>
    <r>
      <rPr>
        <sz val="11"/>
        <color rgb="FF000000"/>
        <rFont val="RTA Office Light"/>
      </rPr>
      <t>Insufficient training for maintenance personnel in identifying, assessing, and repairing fence defects or damage.</t>
    </r>
  </si>
  <si>
    <r>
      <t>1.</t>
    </r>
    <r>
      <rPr>
        <sz val="7"/>
        <color theme="1"/>
        <rFont val="Times New Roman"/>
        <family val="1"/>
      </rPr>
      <t xml:space="preserve">        </t>
    </r>
    <r>
      <rPr>
        <sz val="11"/>
        <color rgb="FF000000"/>
        <rFont val="RTA Office Light"/>
      </rPr>
      <t>Develop a comprehensive training program covering fence inspection techniques, repair procedures, safety protocols, and equipment operation.</t>
    </r>
  </si>
  <si>
    <r>
      <t>a.</t>
    </r>
    <r>
      <rPr>
        <sz val="7"/>
        <color theme="1"/>
        <rFont val="Times New Roman"/>
        <family val="1"/>
      </rPr>
      <t xml:space="preserve">       </t>
    </r>
    <r>
      <rPr>
        <sz val="11"/>
        <color rgb="FF000000"/>
        <rFont val="RTA Office Light"/>
      </rPr>
      <t>Limited funding for fence maintenance and repair activities, resulting in deferred maintenance and increased asset deterioration.</t>
    </r>
  </si>
  <si>
    <r>
      <t>b.</t>
    </r>
    <r>
      <rPr>
        <sz val="7"/>
        <color theme="1"/>
        <rFont val="Times New Roman"/>
        <family val="1"/>
      </rPr>
      <t xml:space="preserve">      </t>
    </r>
    <r>
      <rPr>
        <sz val="11"/>
        <color rgb="FF000000"/>
        <rFont val="RTA Office Light"/>
      </rPr>
      <t>Inability to invest in technological advancements or innovative solutions to improve fence performance and longevity.</t>
    </r>
  </si>
  <si>
    <r>
      <t>1.</t>
    </r>
    <r>
      <rPr>
        <sz val="7"/>
        <color theme="1"/>
        <rFont val="Times New Roman"/>
        <family val="1"/>
      </rPr>
      <t xml:space="preserve">        </t>
    </r>
    <r>
      <rPr>
        <sz val="11"/>
        <color rgb="FF000000"/>
        <rFont val="RTA Office Light"/>
      </rPr>
      <t>Advocate for dedicated funding allocations for fence maintenance and repair as part of the annual budgeting process, highlighting the importance of preserving critical infrastructure assets and ensuring public safety.</t>
    </r>
  </si>
  <si>
    <r>
      <t>D.</t>
    </r>
    <r>
      <rPr>
        <b/>
        <sz val="7"/>
        <color rgb="FF000000"/>
        <rFont val="Times New Roman"/>
        <family val="1"/>
      </rPr>
      <t xml:space="preserve"> </t>
    </r>
    <r>
      <rPr>
        <b/>
        <sz val="11"/>
        <color rgb="FF000000"/>
        <rFont val="RTA Office Light"/>
      </rPr>
      <t>Operational Risk Events</t>
    </r>
  </si>
  <si>
    <r>
      <t>a.</t>
    </r>
    <r>
      <rPr>
        <sz val="7"/>
        <color theme="1"/>
        <rFont val="Times New Roman"/>
        <family val="1"/>
      </rPr>
      <t xml:space="preserve">      </t>
    </r>
    <r>
      <rPr>
        <sz val="12"/>
        <color rgb="FF000000"/>
        <rFont val="RTA Office Light"/>
      </rPr>
      <t>Sandstorms cause abrasion and erosion of Control Cabinetsurfaces, causing paint deteriorations such as chipped or peeled paint and rusting.</t>
    </r>
  </si>
  <si>
    <t>1.      Implement regular inspections following extreme weather events to assess Control Cabinet integrity and address any damage promptly.</t>
  </si>
  <si>
    <t>4.      Implement protection measures, such as using protective coatings, to reduce erosion and extend the service life of the Control Cabinet.</t>
  </si>
  <si>
    <t>b.      Heavy rainfall can result in flooding, which can damage Control Cabinets, causing erosion, deterioration, rusting, and severe damage of electrical components.</t>
  </si>
  <si>
    <t xml:space="preserve">1. Incorporate climate resilience into asset design and maintenance strategies to improve durability and ensure adaptability to changing environmental conditions, thereby safeguarding the infrastructure of the Control Cabinet. </t>
  </si>
  <si>
    <t>2.     Conduct frequent inspections to identify and address damaged Control Cabinets promptly.</t>
  </si>
  <si>
    <t>c.      Indirect effect on the maintenance budget due to extra expenditure on maintenance of Control Cabinets.</t>
  </si>
  <si>
    <t>b.      Increased risk of collisions with Control Cabinets due to over-speeding.</t>
  </si>
  <si>
    <t>2.     Enhance visibility and awareness of Control Cabinets through reflective markers and lighting to alert drivers to potential hazards.</t>
  </si>
  <si>
    <t>a.      Deliberate tampering with Control Cabinet by vandals or malicious actors.</t>
  </si>
  <si>
    <t>2.     Implement anti-defacing coatings on Control Cabinets to facilitate easier clean-up and discourage future vandalism.</t>
  </si>
  <si>
    <t>b.      Forms of defacement on Control Cabinet surfaces, impairing aesthetics.</t>
  </si>
  <si>
    <t>1.       Regularly inspect Control Cabinets to identify early signs of deterioration.</t>
  </si>
  <si>
    <t>RFMD Inspection and Maintenance Team, Control Cabinet Material Supplier and Installer and the Maintenance Contractor</t>
  </si>
  <si>
    <t>a.      Over time, materials and electrical components used in Control Cabinets can degrade, leading to deteriorations of Control Cabinet coatings or finishes, reducing resistance to corrosion, compromising aesthetics and the overall structural and functional integrity of the Control Cabinet.</t>
  </si>
  <si>
    <t>3.      Implement protection measures to extend the service life of Control Cabinet components.</t>
  </si>
  <si>
    <t>1.       Conduct frequent inspections to identify and address damaged Control Cabinets promptly.</t>
  </si>
  <si>
    <t>a.      Pedestrians may accidentally walk into damaged Control Cabinets, leading to trips, falls and other injuries.</t>
  </si>
  <si>
    <t>2.     Place temporary warning signs around damaged Control Cabinets to alert pedestrians and prevent accidents until repairs are made.</t>
  </si>
  <si>
    <t>1.       Ensure compliance with relevant design standards and requirements during the planning and installation phases of Control Cabinet projects.</t>
  </si>
  <si>
    <t xml:space="preserve">2.     Conduct thorough site assessments to identify potential hazards and optimize Control Cabinet placement. </t>
  </si>
  <si>
    <t>b.      Electrical failures in Control Cabinets can result from power surges, faulty wiring or component failures.</t>
  </si>
  <si>
    <t>a.      Lack of routine inspections leading to undetected defects or deterioration in Control Cabinet components.</t>
  </si>
  <si>
    <t>2. Establish a proactive maintenance program focused on preventive measures such as cleaning and painting, to prolong Control Cabinet lifespan.</t>
  </si>
  <si>
    <t>1.       Implement a centralized reporting system for documenting and tracking Control Cabinet damage reports, streamlining communication and ensuring timely responses.</t>
  </si>
  <si>
    <t>a.      Delays in responding to reported Control Cabinet damages due to ineffective communication or resource allocation.</t>
  </si>
  <si>
    <t>b.      Lack of standardized procedures or protocols for assessing and prioritizing Control Cabinet repairs, leading to inconsistent outcomes.</t>
  </si>
  <si>
    <t>1.       Develop a comprehensive training program covering Control Cabinet inspection techniques, repair procedures, safety protocols, and equipment operation.</t>
  </si>
  <si>
    <t>a.      Insufficient training for maintenance personnel in identifying, assessing, and repairing Control Cabinet defects or damage.</t>
  </si>
  <si>
    <t>1.       Advocate for dedicated funding allocations for Control Cabinet maintenance and repair as part of the annual budgeting process, highlighting the importance of preserving critical infrastructure assets and ensuring public safety.</t>
  </si>
  <si>
    <t>a.      Limited funding for Control Cabinet maintenance and repair activities, resulting in deferred maintenance and increased asset deterioration.</t>
  </si>
  <si>
    <t>b.      Inability to invest in technological advancements or innovative solutions to improve Control Cabinet performance and longevity.</t>
  </si>
  <si>
    <r>
      <t>a.</t>
    </r>
    <r>
      <rPr>
        <sz val="7"/>
        <color theme="1"/>
        <rFont val="Times New Roman"/>
        <family val="1"/>
      </rPr>
      <t xml:space="preserve">       </t>
    </r>
    <r>
      <rPr>
        <sz val="11"/>
        <color rgb="FF000000"/>
        <rFont val="RTA Office Light"/>
      </rPr>
      <t>Sandstorms can cause erosion of Landscape surfaces, causing damage and deteriorations to plants and infrastructure.</t>
    </r>
  </si>
  <si>
    <r>
      <t>1.</t>
    </r>
    <r>
      <rPr>
        <sz val="7"/>
        <color theme="1"/>
        <rFont val="Times New Roman"/>
        <family val="1"/>
      </rPr>
      <t xml:space="preserve">       </t>
    </r>
    <r>
      <rPr>
        <sz val="11"/>
        <color rgb="FF000000"/>
        <rFont val="RTA Office Light"/>
      </rPr>
      <t>Implement regular inspections following extreme weather events to assess Landscape integrity and address any damage promptly.</t>
    </r>
  </si>
  <si>
    <r>
      <t>3.</t>
    </r>
    <r>
      <rPr>
        <sz val="7"/>
        <color theme="1"/>
        <rFont val="Times New Roman"/>
        <family val="1"/>
      </rPr>
      <t xml:space="preserve">       </t>
    </r>
    <r>
      <rPr>
        <sz val="11"/>
        <color rgb="FF000000"/>
        <rFont val="RTA Office Light"/>
      </rPr>
      <t>Perform regular cleaning procedures to remove sand and other debris.</t>
    </r>
  </si>
  <si>
    <r>
      <t>4.</t>
    </r>
    <r>
      <rPr>
        <sz val="7"/>
        <color theme="1"/>
        <rFont val="Times New Roman"/>
        <family val="1"/>
      </rPr>
      <t xml:space="preserve">       </t>
    </r>
    <r>
      <rPr>
        <sz val="11"/>
        <color rgb="FF000000"/>
        <rFont val="RTA Office Light"/>
      </rPr>
      <t>Implement protection measures, such as using protective coatings, to reduce erosion and extend the service life of the Landscape.</t>
    </r>
  </si>
  <si>
    <r>
      <t>b.</t>
    </r>
    <r>
      <rPr>
        <sz val="7"/>
        <color theme="1"/>
        <rFont val="Times New Roman"/>
        <family val="1"/>
      </rPr>
      <t xml:space="preserve">      </t>
    </r>
    <r>
      <rPr>
        <sz val="11"/>
        <color rgb="FF000000"/>
        <rFont val="RTA Office Light"/>
      </rPr>
      <t>Heavy rainfall can result in flooding, which can damage Landscapes, causing waterlogging, damaging plant roots and washing away soil nutrients.</t>
    </r>
  </si>
  <si>
    <t>3. Extreme Heat:</t>
  </si>
  <si>
    <r>
      <t>a.</t>
    </r>
    <r>
      <rPr>
        <sz val="7"/>
        <color rgb="FF000000"/>
        <rFont val="Times New Roman"/>
        <family val="1"/>
      </rPr>
      <t xml:space="preserve">       </t>
    </r>
    <r>
      <rPr>
        <sz val="11"/>
        <color rgb="FF000000"/>
        <rFont val="RTA Office Light"/>
      </rPr>
      <t>Extreme heat can lead to dehydration of plants and deterioration of materials.</t>
    </r>
  </si>
  <si>
    <r>
      <t>1.</t>
    </r>
    <r>
      <rPr>
        <sz val="7"/>
        <color theme="1"/>
        <rFont val="Times New Roman"/>
        <family val="1"/>
      </rPr>
      <t xml:space="preserve">       </t>
    </r>
    <r>
      <rPr>
        <sz val="11"/>
        <color rgb="FF000000"/>
        <rFont val="RTA Office Light"/>
      </rPr>
      <t>Utilize weather forecasting technology to anticipate severe weather conditions and implement pre-emptive measures, such as increased maintenance patrols and give more water to plants.</t>
    </r>
  </si>
  <si>
    <r>
      <t>2.</t>
    </r>
    <r>
      <rPr>
        <sz val="7"/>
        <color theme="1"/>
        <rFont val="Times New Roman"/>
        <family val="1"/>
      </rPr>
      <t xml:space="preserve">       </t>
    </r>
    <r>
      <rPr>
        <sz val="11"/>
        <color rgb="FF000000"/>
        <rFont val="RTA Office Light"/>
      </rPr>
      <t>Install protective coverings and use resilient plant species.</t>
    </r>
  </si>
  <si>
    <r>
      <t>a.</t>
    </r>
    <r>
      <rPr>
        <b/>
        <sz val="7"/>
        <color theme="1"/>
        <rFont val="Times New Roman"/>
        <family val="1"/>
      </rPr>
      <t xml:space="preserve">    </t>
    </r>
    <r>
      <rPr>
        <sz val="11"/>
        <color rgb="FF000000"/>
        <rFont val="RTA Office Light"/>
      </rPr>
      <t>Changes in regulatory requirements and non-compliance can lead to operational restrictions.</t>
    </r>
  </si>
  <si>
    <t xml:space="preserve">1. Incorporate climate resilience into asset design and maintenance strategies to improve durability and ensure adaptability to changing environmental conditions, thereby safeguarding the infrastructure of the Landscape. </t>
  </si>
  <si>
    <r>
      <t>2.</t>
    </r>
    <r>
      <rPr>
        <sz val="7"/>
        <color theme="1"/>
        <rFont val="Times New Roman"/>
        <family val="1"/>
      </rPr>
      <t xml:space="preserve">      </t>
    </r>
    <r>
      <rPr>
        <sz val="11"/>
        <color rgb="FF000000"/>
        <rFont val="RTA Office Light"/>
      </rPr>
      <t>Conduct frequent inspections to identify and address damaged Landscapes promptly.</t>
    </r>
  </si>
  <si>
    <r>
      <t>c.</t>
    </r>
    <r>
      <rPr>
        <sz val="7"/>
        <color theme="1"/>
        <rFont val="Times New Roman"/>
        <family val="1"/>
      </rPr>
      <t xml:space="preserve">       </t>
    </r>
    <r>
      <rPr>
        <sz val="11"/>
        <color rgb="FF000000"/>
        <rFont val="RTA Office Light"/>
      </rPr>
      <t>Indirect effect on the maintenance budget due to extra expenditure on maintenance of Landscapes.</t>
    </r>
  </si>
  <si>
    <t>5. Vandalism or Intentional Damage:</t>
  </si>
  <si>
    <r>
      <t>a.</t>
    </r>
    <r>
      <rPr>
        <sz val="7"/>
        <color theme="1"/>
        <rFont val="Times New Roman"/>
        <family val="1"/>
      </rPr>
      <t xml:space="preserve">       </t>
    </r>
    <r>
      <rPr>
        <sz val="11"/>
        <color rgb="FF000000"/>
        <rFont val="RTA Office Light"/>
      </rPr>
      <t>Deliberate tampering of Landscapes by vandals or malicious actors.</t>
    </r>
  </si>
  <si>
    <r>
      <t>b.</t>
    </r>
    <r>
      <rPr>
        <sz val="7"/>
        <color theme="1"/>
        <rFont val="Times New Roman"/>
        <family val="1"/>
      </rPr>
      <t xml:space="preserve">      </t>
    </r>
    <r>
      <rPr>
        <sz val="11"/>
        <color rgb="FF000000"/>
        <rFont val="RTA Office Light"/>
      </rPr>
      <t>Forms of defacement on Landscape surfaces, impairing visibility and aesthetics.</t>
    </r>
  </si>
  <si>
    <t>1. Erosion and Deterioration:</t>
  </si>
  <si>
    <r>
      <t>a.</t>
    </r>
    <r>
      <rPr>
        <sz val="7"/>
        <color theme="1"/>
        <rFont val="Times New Roman"/>
        <family val="1"/>
      </rPr>
      <t xml:space="preserve">       </t>
    </r>
    <r>
      <rPr>
        <sz val="11"/>
        <color rgb="FF000000"/>
        <rFont val="RTA Office Light"/>
      </rPr>
      <t>Over time, materials used in Landscapes can degrade, leading to erosions and deteriorations, compromising the overall structural integrity of the Landscape.</t>
    </r>
  </si>
  <si>
    <r>
      <t>1.</t>
    </r>
    <r>
      <rPr>
        <sz val="7"/>
        <color theme="1"/>
        <rFont val="Times New Roman"/>
        <family val="1"/>
      </rPr>
      <t xml:space="preserve">        </t>
    </r>
    <r>
      <rPr>
        <sz val="11"/>
        <color rgb="FF000000"/>
        <rFont val="RTA Office Light"/>
      </rPr>
      <t>Regularly inspect Landscapes to identify early signs of deterioration.</t>
    </r>
  </si>
  <si>
    <r>
      <t>3.</t>
    </r>
    <r>
      <rPr>
        <sz val="7"/>
        <color theme="1"/>
        <rFont val="Times New Roman"/>
        <family val="1"/>
      </rPr>
      <t xml:space="preserve">      </t>
    </r>
    <r>
      <rPr>
        <sz val="11"/>
        <color rgb="FF000000"/>
        <rFont val="RTA Office Light"/>
      </rPr>
      <t>Implement protection measures to extend the service life of Landscape components.</t>
    </r>
  </si>
  <si>
    <t>RFMD Inspection and Maintenance Team, Landscape Material Supplier and Installer and the Maintenance Contractor</t>
  </si>
  <si>
    <r>
      <t>a.</t>
    </r>
    <r>
      <rPr>
        <sz val="7"/>
        <color theme="1"/>
        <rFont val="Times New Roman"/>
        <family val="1"/>
      </rPr>
      <t xml:space="preserve">       </t>
    </r>
    <r>
      <rPr>
        <sz val="11"/>
        <color rgb="FF000000"/>
        <rFont val="RTA Office Light"/>
      </rPr>
      <t>Landscapes installations not meeting required standards may pose risks to vehicles, cyclists, and pedestrians, especially in low-visibility conditions.</t>
    </r>
  </si>
  <si>
    <r>
      <t>b.</t>
    </r>
    <r>
      <rPr>
        <sz val="7"/>
        <color theme="1"/>
        <rFont val="Times New Roman"/>
        <family val="1"/>
      </rPr>
      <t xml:space="preserve">      </t>
    </r>
    <r>
      <rPr>
        <sz val="11"/>
        <color rgb="FF000000"/>
        <rFont val="RTA Office Light"/>
      </rPr>
      <t>Failures in irrigation systems can lead to inadequate watering, affecting plant health.</t>
    </r>
  </si>
  <si>
    <r>
      <t>1.</t>
    </r>
    <r>
      <rPr>
        <sz val="7"/>
        <color theme="1"/>
        <rFont val="Times New Roman"/>
        <family val="1"/>
      </rPr>
      <t xml:space="preserve">        </t>
    </r>
    <r>
      <rPr>
        <sz val="11"/>
        <color rgb="FF000000"/>
        <rFont val="RTA Office Light"/>
      </rPr>
      <t>Ensure compliance with relevant design standards and requirements during the planning and installation phases of Landscape projects.</t>
    </r>
  </si>
  <si>
    <r>
      <t>2.</t>
    </r>
    <r>
      <rPr>
        <sz val="7"/>
        <color theme="1"/>
        <rFont val="Times New Roman"/>
        <family val="1"/>
      </rPr>
      <t xml:space="preserve">      </t>
    </r>
    <r>
      <rPr>
        <sz val="11"/>
        <color rgb="FF000000"/>
        <rFont val="RTA Office Light"/>
      </rPr>
      <t xml:space="preserve">Conduct thorough site assessments to identify potential hazards and optimize Landscape placement. </t>
    </r>
  </si>
  <si>
    <r>
      <t>3.</t>
    </r>
    <r>
      <rPr>
        <sz val="7"/>
        <color theme="1"/>
        <rFont val="Times New Roman"/>
        <family val="1"/>
      </rPr>
      <t xml:space="preserve">      </t>
    </r>
    <r>
      <rPr>
        <sz val="11"/>
        <color rgb="FF000000"/>
        <rFont val="RTA Office Light"/>
      </rPr>
      <t>Schedule regular maintenance and inspections to assess and address any Landscape damages promptly.</t>
    </r>
  </si>
  <si>
    <r>
      <t>a.</t>
    </r>
    <r>
      <rPr>
        <sz val="7"/>
        <color theme="1"/>
        <rFont val="Times New Roman"/>
        <family val="1"/>
      </rPr>
      <t xml:space="preserve">       </t>
    </r>
    <r>
      <rPr>
        <sz val="11"/>
        <color rgb="FF000000"/>
        <rFont val="RTA Office Light"/>
      </rPr>
      <t>Lack of routine inspections leading to undetected defects or deterioration in Landscape components.</t>
    </r>
  </si>
  <si>
    <r>
      <t>b.</t>
    </r>
    <r>
      <rPr>
        <sz val="7"/>
        <color theme="1"/>
        <rFont val="Times New Roman"/>
        <family val="1"/>
      </rPr>
      <t xml:space="preserve">      </t>
    </r>
    <r>
      <rPr>
        <sz val="11"/>
        <color rgb="FF000000"/>
        <rFont val="RTA Office Light"/>
      </rPr>
      <t>Inadequate maintenance practices resulting in missed opportunities to address minor issues before they escalate into major failures, which can lead to Landscapes becoming unsafe overtime.</t>
    </r>
  </si>
  <si>
    <t>2. Establish a proactive maintenance program focused on preventive measures such as cleaning and pest control sprays to prolong Landscape lifespan.</t>
  </si>
  <si>
    <r>
      <t>a.</t>
    </r>
    <r>
      <rPr>
        <sz val="7"/>
        <color theme="1"/>
        <rFont val="Times New Roman"/>
        <family val="1"/>
      </rPr>
      <t xml:space="preserve">       </t>
    </r>
    <r>
      <rPr>
        <sz val="11"/>
        <color rgb="FF000000"/>
        <rFont val="RTA Office Light"/>
      </rPr>
      <t>Increased risk of collisions with Landscapes due to over-speeding, which will result in damage to the Landscape.</t>
    </r>
  </si>
  <si>
    <r>
      <t>b.</t>
    </r>
    <r>
      <rPr>
        <sz val="7"/>
        <color theme="1"/>
        <rFont val="Times New Roman"/>
        <family val="1"/>
      </rPr>
      <t xml:space="preserve">      </t>
    </r>
    <r>
      <rPr>
        <sz val="11"/>
        <color rgb="FF000000"/>
        <rFont val="RTA Office Light"/>
      </rPr>
      <t>Secondary accidents are caused by drivers losing control after colliding with Landscapes due to high speed.</t>
    </r>
  </si>
  <si>
    <r>
      <t>2.</t>
    </r>
    <r>
      <rPr>
        <sz val="7"/>
        <color theme="1"/>
        <rFont val="Times New Roman"/>
        <family val="1"/>
      </rPr>
      <t xml:space="preserve">      </t>
    </r>
    <r>
      <rPr>
        <sz val="11"/>
        <color rgb="FF000000"/>
        <rFont val="RTA Office Light"/>
      </rPr>
      <t>Enhance visibility and awareness of Landscapes through reflective markers and lighting to alert drivers to potential hazards.</t>
    </r>
  </si>
  <si>
    <t>3. Speed control measures, by imposing fines and issuing speed tickets for over speeding.</t>
  </si>
  <si>
    <r>
      <t>a.</t>
    </r>
    <r>
      <rPr>
        <sz val="7"/>
        <color theme="1"/>
        <rFont val="Times New Roman"/>
        <family val="1"/>
      </rPr>
      <t xml:space="preserve">       </t>
    </r>
    <r>
      <rPr>
        <sz val="11"/>
        <color rgb="FF000000"/>
        <rFont val="RTA Office Light"/>
      </rPr>
      <t>Delays in responding to reported Landscape damages due to ineffective communication or resource allocation.</t>
    </r>
  </si>
  <si>
    <r>
      <t>b.</t>
    </r>
    <r>
      <rPr>
        <sz val="7"/>
        <color theme="1"/>
        <rFont val="Times New Roman"/>
        <family val="1"/>
      </rPr>
      <t xml:space="preserve">      </t>
    </r>
    <r>
      <rPr>
        <sz val="11"/>
        <color rgb="FF000000"/>
        <rFont val="RTA Office Light"/>
      </rPr>
      <t>Lack of standardized procedures or protocols for assessing and prioritizing Landscape repairs, leading to inconsistent outcomes.</t>
    </r>
  </si>
  <si>
    <r>
      <t>1.</t>
    </r>
    <r>
      <rPr>
        <sz val="7"/>
        <color theme="1"/>
        <rFont val="Times New Roman"/>
        <family val="1"/>
      </rPr>
      <t xml:space="preserve">        </t>
    </r>
    <r>
      <rPr>
        <sz val="11"/>
        <color rgb="FF000000"/>
        <rFont val="RTA Office Light"/>
      </rPr>
      <t>Implement a centralized reporting system for documenting and tracking Landscape damage reports, streamlining communication and ensuring timely responses.</t>
    </r>
  </si>
  <si>
    <t>2. Establish clear escalation procedures and response timelines for addressing reported damages based on severity, location, and impact on safety.</t>
  </si>
  <si>
    <r>
      <t>a.</t>
    </r>
    <r>
      <rPr>
        <sz val="7"/>
        <color theme="1"/>
        <rFont val="Times New Roman"/>
        <family val="1"/>
      </rPr>
      <t xml:space="preserve">       </t>
    </r>
    <r>
      <rPr>
        <sz val="11"/>
        <color rgb="FF000000"/>
        <rFont val="RTA Office Light"/>
      </rPr>
      <t>Insufficient training for maintenance personnel in identifying, assessing, and repairing Landscape defects or damage.</t>
    </r>
  </si>
  <si>
    <r>
      <t>1.</t>
    </r>
    <r>
      <rPr>
        <sz val="7"/>
        <color theme="1"/>
        <rFont val="Times New Roman"/>
        <family val="1"/>
      </rPr>
      <t xml:space="preserve">        </t>
    </r>
    <r>
      <rPr>
        <sz val="11"/>
        <color rgb="FF000000"/>
        <rFont val="RTA Office Light"/>
      </rPr>
      <t>Develop a comprehensive training program covering Landscape inspection techniques, repair procedures, safety protocols, and equipment operation.</t>
    </r>
  </si>
  <si>
    <r>
      <t>a.</t>
    </r>
    <r>
      <rPr>
        <sz val="7"/>
        <color theme="1"/>
        <rFont val="Times New Roman"/>
        <family val="1"/>
      </rPr>
      <t xml:space="preserve">       </t>
    </r>
    <r>
      <rPr>
        <sz val="11"/>
        <color rgb="FF000000"/>
        <rFont val="RTA Office Light"/>
      </rPr>
      <t>Limited funding for Landscape maintenance and repair activities, resulting in deferred maintenance and increased asset deterioration.</t>
    </r>
  </si>
  <si>
    <r>
      <t>b.</t>
    </r>
    <r>
      <rPr>
        <sz val="7"/>
        <color theme="1"/>
        <rFont val="Times New Roman"/>
        <family val="1"/>
      </rPr>
      <t xml:space="preserve">      </t>
    </r>
    <r>
      <rPr>
        <sz val="11"/>
        <color rgb="FF000000"/>
        <rFont val="RTA Office Light"/>
      </rPr>
      <t>Inability to invest in technological advancements or innovative solutions to improve Landscape performance and longevity.</t>
    </r>
  </si>
  <si>
    <r>
      <t>1.</t>
    </r>
    <r>
      <rPr>
        <sz val="7"/>
        <color theme="1"/>
        <rFont val="Times New Roman"/>
        <family val="1"/>
      </rPr>
      <t xml:space="preserve">        </t>
    </r>
    <r>
      <rPr>
        <sz val="11"/>
        <color rgb="FF000000"/>
        <rFont val="RTA Office Light"/>
      </rPr>
      <t>Advocate for dedicated funding allocations for Landscape maintenance and repair as part of the annual budgeting process, highlighting the importance of preserving critical infrastructure assets and ensuring public safety.</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</si>
</sst>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Aptos Narrow"/>
      <family val="2"/>
      <scheme val="minor"/>
    </font>
    <font>
      <sz val="11"/>
      <color rgb="FFFFFFFF"/>
      <name val="RTA Office Light"/>
    </font>
    <font>
      <sz val="11"/>
      <color rgb="FF000000"/>
      <name val="RTA Office Light"/>
    </font>
    <font>
      <b/>
      <sz val="11"/>
      <color rgb="FF000000"/>
      <name val="RTA Office Light"/>
    </font>
    <font>
      <sz val="11"/>
      <color theme="1"/>
      <name val="Dubai"/>
      <family val="2"/>
    </font>
    <font>
      <sz val="7"/>
      <color theme="1"/>
      <name val="Times New Roman"/>
      <family val="1"/>
    </font>
    <font>
      <b/>
      <sz val="11"/>
      <color theme="1"/>
      <name val="RTA Office Light"/>
    </font>
    <font>
      <b/>
      <sz val="7"/>
      <color theme="1"/>
      <name val="Times New Roman"/>
      <family val="1"/>
    </font>
    <font>
      <sz val="11"/>
      <color theme="1"/>
      <name val="RTA Office Light"/>
    </font>
    <font>
      <sz val="7"/>
      <color rgb="FF000000"/>
      <name val="Times New Roman"/>
      <family val="1"/>
    </font>
    <font>
      <b/>
      <sz val="7"/>
      <color rgb="FF000000"/>
      <name val="Times New Roman"/>
      <family val="1"/>
    </font>
    <font>
      <b/>
      <sz val="11"/>
      <color rgb="FFFFFFFF"/>
      <name val="RTA Office Light"/>
    </font>
    <font>
      <sz val="12"/>
      <color theme="1"/>
      <name val="RTA Office Light"/>
    </font>
    <font>
      <b/>
      <sz val="11"/>
      <color rgb="FF000000"/>
      <name val="Dubai"/>
      <family val="2"/>
    </font>
    <font>
      <sz val="12"/>
      <color rgb="FFFFFFFF"/>
      <name val="RTA Office Light"/>
    </font>
    <font>
      <sz val="12"/>
      <color rgb="FF000000"/>
      <name val="RTA Office Light"/>
    </font>
    <font>
      <b/>
      <sz val="12"/>
      <color rgb="FF000000"/>
      <name val="RTA Office Light"/>
    </font>
    <font>
      <sz val="12"/>
      <color theme="1"/>
      <name val="Dubai"/>
      <family val="2"/>
    </font>
    <font>
      <b/>
      <sz val="12"/>
      <color theme="1"/>
      <name val="RTA Office Light"/>
    </font>
    <font>
      <sz val="11"/>
      <color rgb="FFFFFFFF"/>
      <name val="Dubai"/>
      <family val="2"/>
    </font>
    <font>
      <sz val="11"/>
      <color rgb="FF000000"/>
      <name val="Dubai"/>
      <family val="2"/>
    </font>
    <font>
      <sz val="7"/>
      <color theme="1"/>
      <name val="Dubai"/>
      <family val="2"/>
    </font>
    <font>
      <sz val="7"/>
      <color rgb="FF000000"/>
      <name val="Dubai"/>
      <family val="2"/>
    </font>
  </fonts>
  <fills count="5">
    <fill>
      <patternFill patternType="none"/>
    </fill>
    <fill>
      <patternFill patternType="gray125"/>
    </fill>
    <fill>
      <patternFill patternType="solid">
        <fgColor rgb="FF171C8F"/>
        <bgColor indexed="64"/>
      </patternFill>
    </fill>
    <fill>
      <patternFill patternType="solid">
        <fgColor rgb="FFE2EFD9"/>
        <bgColor indexed="64"/>
      </patternFill>
    </fill>
    <fill>
      <patternFill patternType="solid">
        <fgColor rgb="FF002060"/>
        <bgColor indexed="64"/>
      </patternFill>
    </fill>
  </fills>
  <borders count="22">
    <border>
      <left/>
      <right/>
      <top/>
      <bottom/>
      <diagonal/>
    </border>
    <border>
      <left style="medium">
        <color rgb="FF000000"/>
      </left>
      <right style="medium">
        <color rgb="FF000000"/>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diagonal/>
    </border>
    <border>
      <left/>
      <right style="medium">
        <color rgb="FF000000"/>
      </right>
      <top/>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bottom style="medium">
        <color indexed="64"/>
      </bottom>
      <diagonal/>
    </border>
    <border>
      <left style="medium">
        <color rgb="FF000000"/>
      </left>
      <right style="medium">
        <color rgb="FF000000"/>
      </right>
      <top/>
      <bottom style="medium">
        <color indexed="64"/>
      </bottom>
      <diagonal/>
    </border>
    <border>
      <left style="medium">
        <color rgb="FF000000"/>
      </left>
      <right style="medium">
        <color rgb="FF000000"/>
      </right>
      <top style="medium">
        <color indexed="64"/>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indexed="64"/>
      </top>
      <bottom style="medium">
        <color indexed="64"/>
      </bottom>
      <diagonal/>
    </border>
    <border>
      <left/>
      <right/>
      <top style="medium">
        <color indexed="64"/>
      </top>
      <bottom style="medium">
        <color indexed="64"/>
      </bottom>
      <diagonal/>
    </border>
    <border>
      <left/>
      <right style="medium">
        <color rgb="FF000000"/>
      </right>
      <top style="medium">
        <color indexed="64"/>
      </top>
      <bottom style="medium">
        <color indexed="64"/>
      </bottom>
      <diagonal/>
    </border>
    <border>
      <left/>
      <right/>
      <top/>
      <bottom style="medium">
        <color rgb="FF000000"/>
      </bottom>
      <diagonal/>
    </border>
    <border>
      <left style="medium">
        <color rgb="FF000000"/>
      </left>
      <right/>
      <top/>
      <bottom style="medium">
        <color rgb="FF000000"/>
      </bottom>
      <diagonal/>
    </border>
    <border>
      <left style="medium">
        <color rgb="FF000000"/>
      </left>
      <right style="medium">
        <color rgb="FF000000"/>
      </right>
      <top style="medium">
        <color indexed="64"/>
      </top>
      <bottom style="medium">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medium">
        <color rgb="FF000000"/>
      </right>
      <top style="medium">
        <color indexed="64"/>
      </top>
      <bottom/>
      <diagonal/>
    </border>
  </borders>
  <cellStyleXfs count="1">
    <xf numFmtId="0" fontId="0" fillId="0" borderId="0"/>
  </cellStyleXfs>
  <cellXfs count="187">
    <xf numFmtId="0" fontId="0" fillId="0" borderId="0" xfId="0"/>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1" fillId="2" borderId="4" xfId="0" applyFont="1" applyFill="1" applyBorder="1" applyAlignment="1">
      <alignment horizontal="center" vertical="center"/>
    </xf>
    <xf numFmtId="0" fontId="0" fillId="2" borderId="5" xfId="0" applyFill="1" applyBorder="1" applyAlignment="1">
      <alignment vertical="center"/>
    </xf>
    <xf numFmtId="0" fontId="1" fillId="2" borderId="6" xfId="0" applyFont="1" applyFill="1" applyBorder="1" applyAlignment="1">
      <alignment horizontal="center" vertical="center"/>
    </xf>
    <xf numFmtId="0" fontId="0" fillId="2" borderId="6" xfId="0" applyFill="1" applyBorder="1" applyAlignment="1">
      <alignment vertical="center"/>
    </xf>
    <xf numFmtId="0" fontId="3" fillId="3" borderId="4" xfId="0" applyFont="1" applyFill="1" applyBorder="1" applyAlignment="1">
      <alignment vertical="center"/>
    </xf>
    <xf numFmtId="0" fontId="4" fillId="3" borderId="4" xfId="0" applyFont="1" applyFill="1" applyBorder="1" applyAlignment="1">
      <alignment horizontal="left" vertical="center"/>
    </xf>
    <xf numFmtId="0" fontId="2" fillId="3" borderId="3" xfId="0" applyFont="1" applyFill="1" applyBorder="1" applyAlignment="1">
      <alignment vertical="center"/>
    </xf>
    <xf numFmtId="0" fontId="6" fillId="3" borderId="4" xfId="0" applyFont="1" applyFill="1" applyBorder="1" applyAlignment="1">
      <alignment horizontal="left" vertical="center"/>
    </xf>
    <xf numFmtId="0" fontId="2" fillId="3" borderId="3" xfId="0" applyFont="1" applyFill="1" applyBorder="1" applyAlignment="1">
      <alignment horizontal="center" vertical="center"/>
    </xf>
    <xf numFmtId="0" fontId="8" fillId="3" borderId="4" xfId="0" applyFont="1" applyFill="1" applyBorder="1" applyAlignment="1">
      <alignment horizontal="left" vertical="center"/>
    </xf>
    <xf numFmtId="0" fontId="8" fillId="3" borderId="4" xfId="0" applyFont="1" applyFill="1" applyBorder="1" applyAlignment="1">
      <alignment vertical="center"/>
    </xf>
    <xf numFmtId="0" fontId="0" fillId="3" borderId="4" xfId="0" applyFill="1" applyBorder="1" applyAlignment="1">
      <alignment vertical="top"/>
    </xf>
    <xf numFmtId="0" fontId="8" fillId="3" borderId="7" xfId="0" applyFont="1" applyFill="1" applyBorder="1" applyAlignment="1">
      <alignment horizontal="left" vertical="center"/>
    </xf>
    <xf numFmtId="0" fontId="0" fillId="3" borderId="7" xfId="0" applyFill="1" applyBorder="1" applyAlignment="1">
      <alignment vertical="top"/>
    </xf>
    <xf numFmtId="0" fontId="8" fillId="3" borderId="5" xfId="0" applyFont="1" applyFill="1" applyBorder="1" applyAlignment="1">
      <alignment vertical="center"/>
    </xf>
    <xf numFmtId="0" fontId="2" fillId="3" borderId="4" xfId="0" applyFont="1" applyFill="1" applyBorder="1" applyAlignment="1">
      <alignment horizontal="left" vertical="center"/>
    </xf>
    <xf numFmtId="0" fontId="6" fillId="3" borderId="7" xfId="0" applyFont="1" applyFill="1" applyBorder="1" applyAlignment="1">
      <alignment vertical="center"/>
    </xf>
    <xf numFmtId="0" fontId="2" fillId="3" borderId="7" xfId="0" applyFont="1" applyFill="1" applyBorder="1" applyAlignment="1">
      <alignment vertical="center"/>
    </xf>
    <xf numFmtId="0" fontId="8" fillId="3" borderId="4" xfId="0" applyFont="1" applyFill="1" applyBorder="1" applyAlignment="1">
      <alignment horizontal="justify" vertical="center"/>
    </xf>
    <xf numFmtId="0" fontId="2" fillId="3" borderId="4" xfId="0" applyFont="1" applyFill="1" applyBorder="1" applyAlignment="1">
      <alignment vertical="center"/>
    </xf>
    <xf numFmtId="0" fontId="8" fillId="3" borderId="6" xfId="0" applyFont="1" applyFill="1" applyBorder="1" applyAlignment="1">
      <alignment horizontal="justify" vertical="center"/>
    </xf>
    <xf numFmtId="0" fontId="0" fillId="3" borderId="6" xfId="0" applyFill="1" applyBorder="1" applyAlignment="1">
      <alignment vertical="top"/>
    </xf>
    <xf numFmtId="0" fontId="6" fillId="3" borderId="6" xfId="0" applyFont="1" applyFill="1" applyBorder="1" applyAlignment="1">
      <alignment vertical="center"/>
    </xf>
    <xf numFmtId="0" fontId="2" fillId="3" borderId="4" xfId="0" applyFont="1" applyFill="1" applyBorder="1" applyAlignment="1">
      <alignment horizontal="justify" vertical="center"/>
    </xf>
    <xf numFmtId="0" fontId="8" fillId="3" borderId="6" xfId="0" applyFont="1" applyFill="1" applyBorder="1" applyAlignment="1">
      <alignment horizontal="left" vertical="center"/>
    </xf>
    <xf numFmtId="0" fontId="8" fillId="3" borderId="7" xfId="0" applyFont="1" applyFill="1" applyBorder="1" applyAlignment="1">
      <alignment horizontal="justify" vertical="center"/>
    </xf>
    <xf numFmtId="0" fontId="3" fillId="3" borderId="4" xfId="0" applyFont="1" applyFill="1" applyBorder="1" applyAlignment="1">
      <alignment horizontal="left" vertical="center"/>
    </xf>
    <xf numFmtId="0" fontId="2" fillId="3" borderId="6" xfId="0" applyFont="1" applyFill="1" applyBorder="1" applyAlignment="1">
      <alignment horizontal="left" vertical="center"/>
    </xf>
    <xf numFmtId="0" fontId="3" fillId="3" borderId="6" xfId="0" applyFont="1" applyFill="1" applyBorder="1" applyAlignment="1">
      <alignment horizontal="center" vertical="center"/>
    </xf>
    <xf numFmtId="0" fontId="2" fillId="3" borderId="0" xfId="0" applyFont="1" applyFill="1" applyAlignment="1">
      <alignment vertical="center"/>
    </xf>
    <xf numFmtId="0" fontId="8" fillId="3" borderId="6" xfId="0" applyFont="1" applyFill="1" applyBorder="1" applyAlignment="1">
      <alignment vertical="center"/>
    </xf>
    <xf numFmtId="0" fontId="11" fillId="4" borderId="1" xfId="0" applyFont="1" applyFill="1" applyBorder="1" applyAlignment="1">
      <alignment horizontal="center" vertical="center"/>
    </xf>
    <xf numFmtId="0" fontId="11" fillId="4" borderId="2" xfId="0" applyFont="1" applyFill="1" applyBorder="1" applyAlignment="1">
      <alignment horizontal="center" vertical="center"/>
    </xf>
    <xf numFmtId="0" fontId="11" fillId="4" borderId="3" xfId="0" applyFont="1" applyFill="1" applyBorder="1" applyAlignment="1">
      <alignment horizontal="center" vertical="center"/>
    </xf>
    <xf numFmtId="0" fontId="11" fillId="4" borderId="4" xfId="0" applyFont="1" applyFill="1" applyBorder="1" applyAlignment="1">
      <alignment horizontal="center" vertical="center"/>
    </xf>
    <xf numFmtId="0" fontId="0" fillId="4" borderId="5" xfId="0" applyFill="1" applyBorder="1" applyAlignment="1">
      <alignment vertical="center"/>
    </xf>
    <xf numFmtId="0" fontId="11" fillId="4" borderId="6" xfId="0" applyFont="1" applyFill="1" applyBorder="1" applyAlignment="1">
      <alignment horizontal="center" vertical="center"/>
    </xf>
    <xf numFmtId="0" fontId="0" fillId="4" borderId="6" xfId="0" applyFill="1" applyBorder="1" applyAlignment="1">
      <alignment vertical="center"/>
    </xf>
    <xf numFmtId="0" fontId="4" fillId="3" borderId="7" xfId="0" applyFont="1" applyFill="1" applyBorder="1" applyAlignment="1">
      <alignment horizontal="left" vertical="center"/>
    </xf>
    <xf numFmtId="0" fontId="1" fillId="4" borderId="1" xfId="0" applyFont="1" applyFill="1" applyBorder="1" applyAlignment="1">
      <alignment horizontal="center" vertical="center"/>
    </xf>
    <xf numFmtId="0" fontId="1" fillId="4" borderId="2" xfId="0" applyFont="1" applyFill="1" applyBorder="1" applyAlignment="1">
      <alignment horizontal="center" vertical="center"/>
    </xf>
    <xf numFmtId="0" fontId="1" fillId="4" borderId="3" xfId="0" applyFont="1" applyFill="1" applyBorder="1" applyAlignment="1">
      <alignment horizontal="center" vertical="center"/>
    </xf>
    <xf numFmtId="0" fontId="1" fillId="4" borderId="4" xfId="0" applyFont="1" applyFill="1" applyBorder="1" applyAlignment="1">
      <alignment horizontal="center" vertical="center"/>
    </xf>
    <xf numFmtId="0" fontId="1" fillId="4" borderId="6" xfId="0" applyFont="1" applyFill="1" applyBorder="1" applyAlignment="1">
      <alignment horizontal="center" vertical="center"/>
    </xf>
    <xf numFmtId="0" fontId="6" fillId="3" borderId="4" xfId="0" applyFont="1" applyFill="1" applyBorder="1" applyAlignment="1">
      <alignment vertical="center"/>
    </xf>
    <xf numFmtId="0" fontId="12" fillId="3" borderId="4" xfId="0" applyFont="1" applyFill="1" applyBorder="1" applyAlignment="1">
      <alignment horizontal="left" vertical="center"/>
    </xf>
    <xf numFmtId="0" fontId="12" fillId="3" borderId="7" xfId="0" applyFont="1" applyFill="1" applyBorder="1" applyAlignment="1">
      <alignment horizontal="left" vertical="center"/>
    </xf>
    <xf numFmtId="0" fontId="6" fillId="3" borderId="7" xfId="0" applyFont="1" applyFill="1" applyBorder="1" applyAlignment="1">
      <alignment horizontal="left" vertical="center"/>
    </xf>
    <xf numFmtId="0" fontId="2" fillId="3" borderId="7" xfId="0" applyFont="1" applyFill="1" applyBorder="1" applyAlignment="1">
      <alignment horizontal="left" vertical="center"/>
    </xf>
    <xf numFmtId="0" fontId="3" fillId="3" borderId="7" xfId="0" applyFont="1" applyFill="1" applyBorder="1" applyAlignment="1">
      <alignment vertical="center"/>
    </xf>
    <xf numFmtId="0" fontId="2" fillId="3" borderId="7" xfId="0" applyFont="1" applyFill="1" applyBorder="1" applyAlignment="1">
      <alignment horizontal="justify" vertical="center"/>
    </xf>
    <xf numFmtId="0" fontId="8" fillId="3" borderId="7" xfId="0" applyFont="1" applyFill="1" applyBorder="1" applyAlignment="1">
      <alignment vertical="center"/>
    </xf>
    <xf numFmtId="0" fontId="13" fillId="3" borderId="4" xfId="0" applyFont="1" applyFill="1" applyBorder="1" applyAlignment="1">
      <alignment horizontal="left" vertical="center"/>
    </xf>
    <xf numFmtId="0" fontId="2" fillId="3" borderId="6" xfId="0" applyFont="1" applyFill="1" applyBorder="1" applyAlignment="1">
      <alignment vertical="center"/>
    </xf>
    <xf numFmtId="0" fontId="0" fillId="4" borderId="8" xfId="0" applyFill="1" applyBorder="1" applyAlignment="1">
      <alignment vertical="center"/>
    </xf>
    <xf numFmtId="0" fontId="0" fillId="3" borderId="7" xfId="0" applyFill="1" applyBorder="1" applyAlignment="1">
      <alignment vertical="center"/>
    </xf>
    <xf numFmtId="0" fontId="3" fillId="3" borderId="7" xfId="0" applyFont="1" applyFill="1" applyBorder="1" applyAlignment="1">
      <alignment horizontal="center" vertical="center"/>
    </xf>
    <xf numFmtId="0" fontId="8" fillId="3" borderId="7" xfId="0" applyFont="1" applyFill="1" applyBorder="1" applyAlignment="1">
      <alignment vertical="top"/>
    </xf>
    <xf numFmtId="0" fontId="4" fillId="0" borderId="0" xfId="0" applyFont="1"/>
    <xf numFmtId="0" fontId="14" fillId="4" borderId="1" xfId="0" applyFont="1" applyFill="1" applyBorder="1" applyAlignment="1">
      <alignment horizontal="center" vertical="center"/>
    </xf>
    <xf numFmtId="0" fontId="14" fillId="4" borderId="2" xfId="0" applyFont="1" applyFill="1" applyBorder="1" applyAlignment="1">
      <alignment horizontal="center" vertical="center"/>
    </xf>
    <xf numFmtId="0" fontId="14" fillId="4" borderId="3" xfId="0" applyFont="1" applyFill="1" applyBorder="1" applyAlignment="1">
      <alignment horizontal="center" vertical="center"/>
    </xf>
    <xf numFmtId="0" fontId="14" fillId="4" borderId="4" xfId="0" applyFont="1" applyFill="1" applyBorder="1" applyAlignment="1">
      <alignment horizontal="center" vertical="center"/>
    </xf>
    <xf numFmtId="0" fontId="14" fillId="4" borderId="6" xfId="0" applyFont="1" applyFill="1" applyBorder="1" applyAlignment="1">
      <alignment horizontal="center" vertical="center"/>
    </xf>
    <xf numFmtId="0" fontId="16" fillId="3" borderId="4" xfId="0" applyFont="1" applyFill="1" applyBorder="1" applyAlignment="1">
      <alignment vertical="center"/>
    </xf>
    <xf numFmtId="0" fontId="17" fillId="3" borderId="4" xfId="0" applyFont="1" applyFill="1" applyBorder="1" applyAlignment="1">
      <alignment horizontal="left" vertical="center"/>
    </xf>
    <xf numFmtId="0" fontId="15" fillId="3" borderId="4" xfId="0" applyFont="1" applyFill="1" applyBorder="1" applyAlignment="1">
      <alignment vertical="center"/>
    </xf>
    <xf numFmtId="0" fontId="17" fillId="3" borderId="7" xfId="0" applyFont="1" applyFill="1" applyBorder="1" applyAlignment="1">
      <alignment horizontal="left" vertical="center"/>
    </xf>
    <xf numFmtId="0" fontId="18" fillId="3" borderId="7" xfId="0" applyFont="1" applyFill="1" applyBorder="1" applyAlignment="1">
      <alignment vertical="center"/>
    </xf>
    <xf numFmtId="0" fontId="15" fillId="3" borderId="4" xfId="0" applyFont="1" applyFill="1" applyBorder="1" applyAlignment="1">
      <alignment horizontal="left" vertical="center"/>
    </xf>
    <xf numFmtId="0" fontId="15" fillId="3" borderId="7" xfId="0" applyFont="1" applyFill="1" applyBorder="1" applyAlignment="1">
      <alignment vertical="center"/>
    </xf>
    <xf numFmtId="0" fontId="12" fillId="3" borderId="6" xfId="0" applyFont="1" applyFill="1" applyBorder="1" applyAlignment="1">
      <alignment horizontal="left" vertical="center"/>
    </xf>
    <xf numFmtId="0" fontId="12" fillId="3" borderId="5" xfId="0" applyFont="1" applyFill="1" applyBorder="1" applyAlignment="1">
      <alignment vertical="center"/>
    </xf>
    <xf numFmtId="0" fontId="15" fillId="3" borderId="7" xfId="0" applyFont="1" applyFill="1" applyBorder="1" applyAlignment="1">
      <alignment horizontal="left" vertical="center"/>
    </xf>
    <xf numFmtId="0" fontId="15" fillId="3" borderId="6" xfId="0" applyFont="1" applyFill="1" applyBorder="1" applyAlignment="1">
      <alignment horizontal="left" vertical="center"/>
    </xf>
    <xf numFmtId="0" fontId="16" fillId="3" borderId="6" xfId="0" applyFont="1" applyFill="1" applyBorder="1" applyAlignment="1">
      <alignment horizontal="center" vertical="center"/>
    </xf>
    <xf numFmtId="0" fontId="15" fillId="3" borderId="0" xfId="0" applyFont="1" applyFill="1" applyAlignment="1">
      <alignment vertical="center"/>
    </xf>
    <xf numFmtId="0" fontId="12" fillId="3" borderId="6" xfId="0" applyFont="1" applyFill="1" applyBorder="1" applyAlignment="1">
      <alignment vertical="center"/>
    </xf>
    <xf numFmtId="0" fontId="6" fillId="3" borderId="18" xfId="0" applyFont="1" applyFill="1" applyBorder="1" applyAlignment="1">
      <alignment horizontal="left" vertical="center" wrapText="1"/>
    </xf>
    <xf numFmtId="0" fontId="3" fillId="3" borderId="6" xfId="0" applyFont="1" applyFill="1" applyBorder="1" applyAlignment="1">
      <alignment horizontal="left" vertical="center"/>
    </xf>
    <xf numFmtId="0" fontId="9" fillId="3" borderId="4" xfId="0" applyFont="1" applyFill="1" applyBorder="1" applyAlignment="1">
      <alignment horizontal="left" vertical="center"/>
    </xf>
    <xf numFmtId="0" fontId="20" fillId="3" borderId="4" xfId="0" applyFont="1" applyFill="1" applyBorder="1" applyAlignment="1">
      <alignment vertical="center"/>
    </xf>
    <xf numFmtId="0" fontId="19" fillId="4" borderId="19" xfId="0" applyFont="1" applyFill="1" applyBorder="1" applyAlignment="1">
      <alignment horizontal="center" vertical="center"/>
    </xf>
    <xf numFmtId="0" fontId="20" fillId="3" borderId="19" xfId="0" applyFont="1" applyFill="1" applyBorder="1" applyAlignment="1">
      <alignment vertical="center"/>
    </xf>
    <xf numFmtId="0" fontId="13" fillId="3" borderId="19" xfId="0" applyFont="1" applyFill="1" applyBorder="1" applyAlignment="1">
      <alignment vertical="center"/>
    </xf>
    <xf numFmtId="0" fontId="20" fillId="3" borderId="19" xfId="0" applyFont="1" applyFill="1" applyBorder="1" applyAlignment="1">
      <alignment horizontal="center" vertical="center"/>
    </xf>
    <xf numFmtId="0" fontId="20" fillId="3" borderId="19" xfId="0" applyFont="1" applyFill="1" applyBorder="1" applyAlignment="1">
      <alignment horizontal="left" vertical="center"/>
    </xf>
    <xf numFmtId="0" fontId="4" fillId="3" borderId="19" xfId="0" applyFont="1" applyFill="1" applyBorder="1" applyAlignment="1">
      <alignment vertical="center"/>
    </xf>
    <xf numFmtId="0" fontId="13" fillId="3" borderId="19" xfId="0" applyFont="1" applyFill="1" applyBorder="1" applyAlignment="1">
      <alignment horizontal="center" vertical="center"/>
    </xf>
    <xf numFmtId="0" fontId="4" fillId="4" borderId="19" xfId="0" applyFont="1" applyFill="1" applyBorder="1" applyAlignment="1">
      <alignment vertical="center"/>
    </xf>
    <xf numFmtId="0" fontId="4" fillId="3" borderId="4" xfId="0" applyFont="1" applyFill="1" applyBorder="1" applyAlignment="1">
      <alignment vertical="top"/>
    </xf>
    <xf numFmtId="0" fontId="4" fillId="4" borderId="20" xfId="0" applyFont="1" applyFill="1" applyBorder="1" applyAlignment="1">
      <alignment vertical="center"/>
    </xf>
    <xf numFmtId="0" fontId="19" fillId="4" borderId="20" xfId="0" applyFont="1" applyFill="1" applyBorder="1" applyAlignment="1">
      <alignment horizontal="center" vertical="center"/>
    </xf>
    <xf numFmtId="0" fontId="4" fillId="3" borderId="19" xfId="0" applyFont="1" applyFill="1" applyBorder="1" applyAlignment="1">
      <alignment horizontal="left" vertical="center"/>
    </xf>
    <xf numFmtId="0" fontId="4" fillId="3" borderId="19" xfId="0" applyFont="1" applyFill="1" applyBorder="1" applyAlignment="1">
      <alignment vertical="top"/>
    </xf>
    <xf numFmtId="0" fontId="20" fillId="3" borderId="20" xfId="0" applyFont="1" applyFill="1" applyBorder="1" applyAlignment="1">
      <alignment horizontal="left" vertical="center"/>
    </xf>
    <xf numFmtId="0" fontId="3" fillId="3" borderId="10" xfId="0" applyFont="1" applyFill="1" applyBorder="1" applyAlignment="1">
      <alignment horizontal="center" vertical="center"/>
    </xf>
    <xf numFmtId="0" fontId="3" fillId="3" borderId="11" xfId="0" applyFont="1" applyFill="1" applyBorder="1" applyAlignment="1">
      <alignment horizontal="center" vertical="center"/>
    </xf>
    <xf numFmtId="0" fontId="3" fillId="3" borderId="12" xfId="0" applyFont="1" applyFill="1" applyBorder="1" applyAlignment="1">
      <alignment horizontal="center" vertical="center"/>
    </xf>
    <xf numFmtId="0" fontId="2" fillId="3" borderId="1" xfId="0" applyFont="1" applyFill="1" applyBorder="1" applyAlignment="1">
      <alignment horizontal="center" vertical="center"/>
    </xf>
    <xf numFmtId="0" fontId="2" fillId="3" borderId="3" xfId="0" applyFont="1" applyFill="1" applyBorder="1" applyAlignment="1">
      <alignment horizontal="center" vertical="center"/>
    </xf>
    <xf numFmtId="0" fontId="2" fillId="3" borderId="5" xfId="0" applyFont="1" applyFill="1" applyBorder="1" applyAlignment="1">
      <alignment horizontal="center" vertical="center"/>
    </xf>
    <xf numFmtId="0" fontId="2" fillId="3" borderId="1" xfId="0" applyFont="1" applyFill="1" applyBorder="1" applyAlignment="1">
      <alignment vertical="center"/>
    </xf>
    <xf numFmtId="0" fontId="2" fillId="3" borderId="3" xfId="0" applyFont="1" applyFill="1" applyBorder="1" applyAlignment="1">
      <alignment vertical="center"/>
    </xf>
    <xf numFmtId="0" fontId="2" fillId="3" borderId="5" xfId="0" applyFont="1" applyFill="1" applyBorder="1" applyAlignment="1">
      <alignment vertical="center"/>
    </xf>
    <xf numFmtId="0" fontId="2" fillId="3" borderId="9" xfId="0" applyFont="1" applyFill="1" applyBorder="1" applyAlignment="1">
      <alignment horizontal="center" vertical="center"/>
    </xf>
    <xf numFmtId="0" fontId="2" fillId="3" borderId="9" xfId="0" applyFont="1" applyFill="1" applyBorder="1" applyAlignment="1">
      <alignment vertical="center"/>
    </xf>
    <xf numFmtId="0" fontId="2" fillId="3" borderId="8" xfId="0" applyFont="1" applyFill="1" applyBorder="1" applyAlignment="1">
      <alignment horizontal="center" vertical="center"/>
    </xf>
    <xf numFmtId="0" fontId="2" fillId="3" borderId="8" xfId="0" applyFont="1" applyFill="1" applyBorder="1" applyAlignment="1">
      <alignment vertical="center"/>
    </xf>
    <xf numFmtId="0" fontId="8" fillId="3" borderId="1" xfId="0" applyFont="1" applyFill="1" applyBorder="1" applyAlignment="1">
      <alignment vertical="center"/>
    </xf>
    <xf numFmtId="0" fontId="8" fillId="3" borderId="3" xfId="0" applyFont="1" applyFill="1" applyBorder="1" applyAlignment="1">
      <alignment vertical="center"/>
    </xf>
    <xf numFmtId="0" fontId="8" fillId="3" borderId="5" xfId="0" applyFont="1" applyFill="1" applyBorder="1" applyAlignment="1">
      <alignment vertical="center"/>
    </xf>
    <xf numFmtId="0" fontId="8" fillId="3" borderId="9" xfId="0" applyFont="1" applyFill="1" applyBorder="1" applyAlignment="1">
      <alignment horizontal="left" vertical="center"/>
    </xf>
    <xf numFmtId="0" fontId="8" fillId="3" borderId="3" xfId="0" applyFont="1" applyFill="1" applyBorder="1" applyAlignment="1">
      <alignment horizontal="left" vertical="center"/>
    </xf>
    <xf numFmtId="0" fontId="8" fillId="3" borderId="5" xfId="0" applyFont="1" applyFill="1" applyBorder="1" applyAlignment="1">
      <alignment horizontal="left" vertical="center"/>
    </xf>
    <xf numFmtId="0" fontId="8" fillId="3" borderId="8" xfId="0" applyFont="1" applyFill="1" applyBorder="1" applyAlignment="1">
      <alignment horizontal="left" vertical="center"/>
    </xf>
    <xf numFmtId="0" fontId="1" fillId="4" borderId="1" xfId="0" applyFont="1" applyFill="1" applyBorder="1" applyAlignment="1">
      <alignment horizontal="center" vertical="center"/>
    </xf>
    <xf numFmtId="0" fontId="1" fillId="4" borderId="3" xfId="0" applyFont="1" applyFill="1" applyBorder="1" applyAlignment="1">
      <alignment horizontal="center" vertical="center"/>
    </xf>
    <xf numFmtId="0" fontId="1" fillId="4" borderId="5" xfId="0" applyFont="1" applyFill="1" applyBorder="1" applyAlignment="1">
      <alignment horizontal="center" vertical="center"/>
    </xf>
    <xf numFmtId="0" fontId="3" fillId="3" borderId="17" xfId="0" applyFont="1" applyFill="1" applyBorder="1" applyAlignment="1">
      <alignment horizontal="right" vertical="center"/>
    </xf>
    <xf numFmtId="0" fontId="3" fillId="3" borderId="16" xfId="0" applyFont="1" applyFill="1" applyBorder="1" applyAlignment="1">
      <alignment horizontal="right" vertical="center"/>
    </xf>
    <xf numFmtId="0" fontId="3" fillId="3" borderId="6" xfId="0" applyFont="1" applyFill="1" applyBorder="1" applyAlignment="1">
      <alignment horizontal="right" vertical="center"/>
    </xf>
    <xf numFmtId="0" fontId="4" fillId="3" borderId="9" xfId="0" applyFont="1" applyFill="1" applyBorder="1" applyAlignment="1">
      <alignment horizontal="left" vertical="center"/>
    </xf>
    <xf numFmtId="0" fontId="4" fillId="3" borderId="8" xfId="0" applyFont="1" applyFill="1" applyBorder="1" applyAlignment="1">
      <alignment horizontal="left" vertical="center"/>
    </xf>
    <xf numFmtId="0" fontId="2" fillId="3" borderId="9" xfId="0" applyFont="1" applyFill="1" applyBorder="1" applyAlignment="1">
      <alignment horizontal="left" vertical="center"/>
    </xf>
    <xf numFmtId="0" fontId="2" fillId="3" borderId="8" xfId="0" applyFont="1" applyFill="1" applyBorder="1" applyAlignment="1">
      <alignment horizontal="left" vertical="center"/>
    </xf>
    <xf numFmtId="0" fontId="3" fillId="3" borderId="10" xfId="0" applyFont="1" applyFill="1" applyBorder="1" applyAlignment="1">
      <alignment horizontal="right" vertical="center"/>
    </xf>
    <xf numFmtId="0" fontId="3" fillId="3" borderId="11" xfId="0" applyFont="1" applyFill="1" applyBorder="1" applyAlignment="1">
      <alignment horizontal="right" vertical="center"/>
    </xf>
    <xf numFmtId="0" fontId="3" fillId="3" borderId="12" xfId="0" applyFont="1" applyFill="1" applyBorder="1" applyAlignment="1">
      <alignment horizontal="right" vertical="center"/>
    </xf>
    <xf numFmtId="0" fontId="20" fillId="3" borderId="19" xfId="0" applyFont="1" applyFill="1" applyBorder="1" applyAlignment="1">
      <alignment horizontal="center" vertical="center"/>
    </xf>
    <xf numFmtId="0" fontId="20" fillId="3" borderId="2" xfId="0" applyFont="1" applyFill="1" applyBorder="1" applyAlignment="1">
      <alignment vertical="center"/>
    </xf>
    <xf numFmtId="0" fontId="20" fillId="3" borderId="4" xfId="0" applyFont="1" applyFill="1" applyBorder="1" applyAlignment="1">
      <alignment vertical="center"/>
    </xf>
    <xf numFmtId="0" fontId="20" fillId="3" borderId="6" xfId="0" applyFont="1" applyFill="1" applyBorder="1" applyAlignment="1">
      <alignment vertical="center"/>
    </xf>
    <xf numFmtId="0" fontId="20" fillId="3" borderId="21" xfId="0" applyFont="1" applyFill="1" applyBorder="1" applyAlignment="1">
      <alignment vertical="center"/>
    </xf>
    <xf numFmtId="0" fontId="20" fillId="3" borderId="7" xfId="0" applyFont="1" applyFill="1" applyBorder="1" applyAlignment="1">
      <alignment vertical="center"/>
    </xf>
    <xf numFmtId="0" fontId="20" fillId="3" borderId="19" xfId="0" applyFont="1" applyFill="1" applyBorder="1" applyAlignment="1">
      <alignment vertical="center"/>
    </xf>
    <xf numFmtId="0" fontId="20" fillId="3" borderId="19" xfId="0" applyFont="1" applyFill="1" applyBorder="1" applyAlignment="1">
      <alignment horizontal="left" vertical="center"/>
    </xf>
    <xf numFmtId="0" fontId="20" fillId="3" borderId="20" xfId="0" applyFont="1" applyFill="1" applyBorder="1" applyAlignment="1">
      <alignment vertical="center"/>
    </xf>
    <xf numFmtId="0" fontId="20" fillId="3" borderId="20" xfId="0" applyFont="1" applyFill="1" applyBorder="1" applyAlignment="1">
      <alignment horizontal="center" vertical="center"/>
    </xf>
    <xf numFmtId="0" fontId="13" fillId="3" borderId="19" xfId="0" applyFont="1" applyFill="1" applyBorder="1" applyAlignment="1">
      <alignment horizontal="right" vertical="center"/>
    </xf>
    <xf numFmtId="0" fontId="19" fillId="4" borderId="19" xfId="0" applyFont="1" applyFill="1" applyBorder="1" applyAlignment="1">
      <alignment horizontal="center" vertical="center"/>
    </xf>
    <xf numFmtId="0" fontId="19" fillId="4" borderId="20" xfId="0" applyFont="1" applyFill="1" applyBorder="1" applyAlignment="1">
      <alignment horizontal="center" vertical="center"/>
    </xf>
    <xf numFmtId="0" fontId="11" fillId="4" borderId="1" xfId="0" applyFont="1" applyFill="1" applyBorder="1" applyAlignment="1">
      <alignment horizontal="center" vertical="center"/>
    </xf>
    <xf numFmtId="0" fontId="11" fillId="4" borderId="3" xfId="0" applyFont="1" applyFill="1" applyBorder="1" applyAlignment="1">
      <alignment horizontal="center" vertical="center"/>
    </xf>
    <xf numFmtId="0" fontId="11" fillId="4" borderId="5" xfId="0" applyFont="1" applyFill="1" applyBorder="1" applyAlignment="1">
      <alignment horizontal="center" vertical="center"/>
    </xf>
    <xf numFmtId="0" fontId="1" fillId="2" borderId="1" xfId="0" applyFont="1" applyFill="1" applyBorder="1" applyAlignment="1">
      <alignment horizontal="center" vertical="center"/>
    </xf>
    <xf numFmtId="0" fontId="1" fillId="2" borderId="3" xfId="0" applyFont="1" applyFill="1" applyBorder="1" applyAlignment="1">
      <alignment horizontal="center" vertical="center"/>
    </xf>
    <xf numFmtId="0" fontId="1" fillId="2" borderId="5" xfId="0" applyFont="1" applyFill="1" applyBorder="1" applyAlignment="1">
      <alignment horizontal="center" vertical="center"/>
    </xf>
    <xf numFmtId="0" fontId="8" fillId="3" borderId="1" xfId="0" applyFont="1" applyFill="1" applyBorder="1" applyAlignment="1">
      <alignment horizontal="center" vertical="center"/>
    </xf>
    <xf numFmtId="0" fontId="8" fillId="3" borderId="3" xfId="0" applyFont="1" applyFill="1" applyBorder="1" applyAlignment="1">
      <alignment horizontal="center" vertical="center"/>
    </xf>
    <xf numFmtId="0" fontId="8" fillId="3" borderId="5" xfId="0" applyFont="1" applyFill="1" applyBorder="1" applyAlignment="1">
      <alignment horizontal="center" vertical="center"/>
    </xf>
    <xf numFmtId="0" fontId="8" fillId="3" borderId="1" xfId="0" applyFont="1" applyFill="1" applyBorder="1" applyAlignment="1">
      <alignment horizontal="justify" vertical="center"/>
    </xf>
    <xf numFmtId="0" fontId="8" fillId="3" borderId="3" xfId="0" applyFont="1" applyFill="1" applyBorder="1" applyAlignment="1">
      <alignment horizontal="justify" vertical="center"/>
    </xf>
    <xf numFmtId="0" fontId="8" fillId="3" borderId="5" xfId="0" applyFont="1" applyFill="1" applyBorder="1" applyAlignment="1">
      <alignment horizontal="justify" vertical="center"/>
    </xf>
    <xf numFmtId="0" fontId="8" fillId="3" borderId="9" xfId="0" applyFont="1" applyFill="1" applyBorder="1" applyAlignment="1">
      <alignment horizontal="justify" vertical="center"/>
    </xf>
    <xf numFmtId="0" fontId="8" fillId="3" borderId="8" xfId="0" applyFont="1" applyFill="1" applyBorder="1" applyAlignment="1">
      <alignment horizontal="justify" vertical="center"/>
    </xf>
    <xf numFmtId="0" fontId="8" fillId="3" borderId="1" xfId="0" applyFont="1" applyFill="1" applyBorder="1" applyAlignment="1">
      <alignment horizontal="left" vertical="center"/>
    </xf>
    <xf numFmtId="0" fontId="2" fillId="3" borderId="1" xfId="0" applyFont="1" applyFill="1" applyBorder="1" applyAlignment="1">
      <alignment horizontal="left" vertical="center"/>
    </xf>
    <xf numFmtId="0" fontId="2" fillId="3" borderId="3" xfId="0" applyFont="1" applyFill="1" applyBorder="1" applyAlignment="1">
      <alignment horizontal="left" vertical="center"/>
    </xf>
    <xf numFmtId="0" fontId="3" fillId="3" borderId="13" xfId="0" applyFont="1" applyFill="1" applyBorder="1" applyAlignment="1">
      <alignment horizontal="right" vertical="center"/>
    </xf>
    <xf numFmtId="0" fontId="3" fillId="3" borderId="14" xfId="0" applyFont="1" applyFill="1" applyBorder="1" applyAlignment="1">
      <alignment horizontal="right" vertical="center"/>
    </xf>
    <xf numFmtId="0" fontId="3" fillId="3" borderId="15" xfId="0" applyFont="1" applyFill="1" applyBorder="1" applyAlignment="1">
      <alignment horizontal="right" vertical="center"/>
    </xf>
    <xf numFmtId="0" fontId="15" fillId="3" borderId="1" xfId="0" applyFont="1" applyFill="1" applyBorder="1" applyAlignment="1">
      <alignment vertical="center"/>
    </xf>
    <xf numFmtId="0" fontId="15" fillId="3" borderId="3" xfId="0" applyFont="1" applyFill="1" applyBorder="1" applyAlignment="1">
      <alignment vertical="center"/>
    </xf>
    <xf numFmtId="0" fontId="15" fillId="3" borderId="5" xfId="0" applyFont="1" applyFill="1" applyBorder="1" applyAlignment="1">
      <alignment vertical="center"/>
    </xf>
    <xf numFmtId="0" fontId="15" fillId="3" borderId="1" xfId="0" applyFont="1" applyFill="1" applyBorder="1" applyAlignment="1">
      <alignment horizontal="center" vertical="center"/>
    </xf>
    <xf numFmtId="0" fontId="15" fillId="3" borderId="3" xfId="0" applyFont="1" applyFill="1" applyBorder="1" applyAlignment="1">
      <alignment horizontal="center" vertical="center"/>
    </xf>
    <xf numFmtId="0" fontId="15" fillId="3" borderId="5" xfId="0" applyFont="1" applyFill="1" applyBorder="1" applyAlignment="1">
      <alignment horizontal="center" vertical="center"/>
    </xf>
    <xf numFmtId="0" fontId="16" fillId="3" borderId="10" xfId="0" applyFont="1" applyFill="1" applyBorder="1" applyAlignment="1">
      <alignment horizontal="center" vertical="center"/>
    </xf>
    <xf numFmtId="0" fontId="16" fillId="3" borderId="11" xfId="0" applyFont="1" applyFill="1" applyBorder="1" applyAlignment="1">
      <alignment horizontal="center" vertical="center"/>
    </xf>
    <xf numFmtId="0" fontId="16" fillId="3" borderId="12" xfId="0" applyFont="1" applyFill="1" applyBorder="1" applyAlignment="1">
      <alignment horizontal="center" vertical="center"/>
    </xf>
    <xf numFmtId="0" fontId="12" fillId="3" borderId="1" xfId="0" applyFont="1" applyFill="1" applyBorder="1" applyAlignment="1">
      <alignment vertical="center"/>
    </xf>
    <xf numFmtId="0" fontId="12" fillId="3" borderId="3" xfId="0" applyFont="1" applyFill="1" applyBorder="1" applyAlignment="1">
      <alignment vertical="center"/>
    </xf>
    <xf numFmtId="0" fontId="12" fillId="3" borderId="5" xfId="0" applyFont="1" applyFill="1" applyBorder="1" applyAlignment="1">
      <alignment vertical="center"/>
    </xf>
    <xf numFmtId="0" fontId="15" fillId="3" borderId="9" xfId="0" applyFont="1" applyFill="1" applyBorder="1" applyAlignment="1">
      <alignment horizontal="center" vertical="center"/>
    </xf>
    <xf numFmtId="0" fontId="15" fillId="3" borderId="8" xfId="0" applyFont="1" applyFill="1" applyBorder="1" applyAlignment="1">
      <alignment horizontal="center" vertical="center"/>
    </xf>
    <xf numFmtId="0" fontId="15" fillId="3" borderId="9" xfId="0" applyFont="1" applyFill="1" applyBorder="1" applyAlignment="1">
      <alignment vertical="center"/>
    </xf>
    <xf numFmtId="0" fontId="15" fillId="3" borderId="8" xfId="0" applyFont="1" applyFill="1" applyBorder="1" applyAlignment="1">
      <alignment vertical="center"/>
    </xf>
    <xf numFmtId="0" fontId="12" fillId="3" borderId="9" xfId="0" applyFont="1" applyFill="1" applyBorder="1" applyAlignment="1">
      <alignment horizontal="left" vertical="center"/>
    </xf>
    <xf numFmtId="0" fontId="12" fillId="3" borderId="8" xfId="0" applyFont="1" applyFill="1" applyBorder="1" applyAlignment="1">
      <alignment horizontal="left" vertical="center"/>
    </xf>
    <xf numFmtId="0" fontId="14" fillId="4" borderId="1" xfId="0" applyFont="1" applyFill="1" applyBorder="1" applyAlignment="1">
      <alignment horizontal="center" vertical="center"/>
    </xf>
    <xf numFmtId="0" fontId="14" fillId="4" borderId="3" xfId="0" applyFont="1" applyFill="1" applyBorder="1" applyAlignment="1">
      <alignment horizontal="center" vertical="center"/>
    </xf>
    <xf numFmtId="0" fontId="14" fillId="4" borderId="5"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BBF54C-2DF1-4B04-9D74-61978F5F283B}">
  <dimension ref="A1:G71"/>
  <sheetViews>
    <sheetView topLeftCell="B36" zoomScale="70" zoomScaleNormal="70" workbookViewId="0">
      <selection activeCell="B76" sqref="B76"/>
    </sheetView>
  </sheetViews>
  <sheetFormatPr defaultRowHeight="15" x14ac:dyDescent="0.25"/>
  <cols>
    <col min="1" max="1" width="6.85546875" bestFit="1" customWidth="1"/>
    <col min="2" max="2" width="125.7109375" customWidth="1"/>
    <col min="3" max="3" width="11.140625" bestFit="1" customWidth="1"/>
    <col min="4" max="4" width="9" bestFit="1" customWidth="1"/>
    <col min="5" max="5" width="7.5703125" bestFit="1" customWidth="1"/>
    <col min="6" max="6" width="213.5703125" bestFit="1" customWidth="1"/>
    <col min="7" max="7" width="113.5703125" bestFit="1" customWidth="1"/>
  </cols>
  <sheetData>
    <row r="1" spans="1:7" ht="16.5" x14ac:dyDescent="0.25">
      <c r="A1" s="43" t="s">
        <v>0</v>
      </c>
      <c r="B1" s="120" t="s">
        <v>1</v>
      </c>
      <c r="C1" s="44" t="s">
        <v>2</v>
      </c>
      <c r="D1" s="44" t="s">
        <v>3</v>
      </c>
      <c r="E1" s="44" t="s">
        <v>0</v>
      </c>
      <c r="F1" s="44" t="s">
        <v>4</v>
      </c>
      <c r="G1" s="44" t="s">
        <v>5</v>
      </c>
    </row>
    <row r="2" spans="1:7" ht="16.5" x14ac:dyDescent="0.25">
      <c r="A2" s="45" t="s">
        <v>6</v>
      </c>
      <c r="B2" s="121"/>
      <c r="C2" s="46" t="s">
        <v>7</v>
      </c>
      <c r="D2" s="46" t="s">
        <v>8</v>
      </c>
      <c r="E2" s="46" t="s">
        <v>9</v>
      </c>
      <c r="F2" s="46" t="s">
        <v>10</v>
      </c>
      <c r="G2" s="46" t="s">
        <v>11</v>
      </c>
    </row>
    <row r="3" spans="1:7" ht="17.25" thickBot="1" x14ac:dyDescent="0.3">
      <c r="A3" s="39"/>
      <c r="B3" s="122"/>
      <c r="C3" s="47" t="s">
        <v>12</v>
      </c>
      <c r="D3" s="47" t="s">
        <v>12</v>
      </c>
      <c r="E3" s="47" t="s">
        <v>13</v>
      </c>
      <c r="F3" s="41"/>
      <c r="G3" s="41"/>
    </row>
    <row r="4" spans="1:7" ht="21" x14ac:dyDescent="0.25">
      <c r="A4" s="106" t="s">
        <v>14</v>
      </c>
      <c r="B4" s="8" t="s">
        <v>15</v>
      </c>
      <c r="C4" s="103">
        <v>2</v>
      </c>
      <c r="D4" s="103">
        <v>2</v>
      </c>
      <c r="E4" s="103">
        <v>4</v>
      </c>
      <c r="F4" s="9" t="s">
        <v>573</v>
      </c>
      <c r="G4" s="23" t="s">
        <v>17</v>
      </c>
    </row>
    <row r="5" spans="1:7" ht="21" x14ac:dyDescent="0.25">
      <c r="A5" s="107"/>
      <c r="B5" s="8" t="s">
        <v>122</v>
      </c>
      <c r="C5" s="104"/>
      <c r="D5" s="104"/>
      <c r="E5" s="104"/>
      <c r="F5" s="9" t="s">
        <v>125</v>
      </c>
      <c r="G5" s="23" t="s">
        <v>47</v>
      </c>
    </row>
    <row r="6" spans="1:7" ht="21" x14ac:dyDescent="0.25">
      <c r="A6" s="107"/>
      <c r="B6" s="13" t="s">
        <v>572</v>
      </c>
      <c r="C6" s="104"/>
      <c r="D6" s="104"/>
      <c r="E6" s="104"/>
      <c r="F6" s="9" t="s">
        <v>126</v>
      </c>
      <c r="G6" s="15"/>
    </row>
    <row r="7" spans="1:7" ht="21.75" thickBot="1" x14ac:dyDescent="0.3">
      <c r="A7" s="107"/>
      <c r="B7" s="17"/>
      <c r="C7" s="111"/>
      <c r="D7" s="111"/>
      <c r="E7" s="111"/>
      <c r="F7" s="42" t="s">
        <v>574</v>
      </c>
      <c r="G7" s="17"/>
    </row>
    <row r="8" spans="1:7" ht="21" x14ac:dyDescent="0.25">
      <c r="A8" s="107"/>
      <c r="B8" s="8" t="s">
        <v>127</v>
      </c>
      <c r="C8" s="109">
        <v>2</v>
      </c>
      <c r="D8" s="109">
        <v>5</v>
      </c>
      <c r="E8" s="109">
        <v>10</v>
      </c>
      <c r="F8" s="9" t="s">
        <v>573</v>
      </c>
      <c r="G8" s="23" t="s">
        <v>17</v>
      </c>
    </row>
    <row r="9" spans="1:7" ht="21" x14ac:dyDescent="0.25">
      <c r="A9" s="107"/>
      <c r="B9" s="13" t="s">
        <v>575</v>
      </c>
      <c r="C9" s="104"/>
      <c r="D9" s="104"/>
      <c r="E9" s="104"/>
      <c r="F9" s="9" t="s">
        <v>125</v>
      </c>
      <c r="G9" s="23" t="s">
        <v>47</v>
      </c>
    </row>
    <row r="10" spans="1:7" ht="21.75" thickBot="1" x14ac:dyDescent="0.3">
      <c r="A10" s="108"/>
      <c r="B10" s="20"/>
      <c r="C10" s="111"/>
      <c r="D10" s="111"/>
      <c r="E10" s="111"/>
      <c r="F10" s="42" t="s">
        <v>129</v>
      </c>
      <c r="G10" s="17"/>
    </row>
    <row r="11" spans="1:7" ht="16.5" x14ac:dyDescent="0.25">
      <c r="A11" s="106" t="s">
        <v>34</v>
      </c>
      <c r="B11" s="8" t="s">
        <v>35</v>
      </c>
      <c r="C11" s="109">
        <v>1</v>
      </c>
      <c r="D11" s="109">
        <v>3</v>
      </c>
      <c r="E11" s="109">
        <v>3</v>
      </c>
      <c r="F11" s="19" t="s">
        <v>130</v>
      </c>
      <c r="G11" s="110" t="s">
        <v>17</v>
      </c>
    </row>
    <row r="12" spans="1:7" ht="16.5" x14ac:dyDescent="0.25">
      <c r="A12" s="107"/>
      <c r="B12" s="8" t="s">
        <v>37</v>
      </c>
      <c r="C12" s="104"/>
      <c r="D12" s="104"/>
      <c r="E12" s="104"/>
      <c r="F12" s="19" t="s">
        <v>131</v>
      </c>
      <c r="G12" s="107"/>
    </row>
    <row r="13" spans="1:7" ht="17.25" thickBot="1" x14ac:dyDescent="0.3">
      <c r="A13" s="107"/>
      <c r="B13" s="21" t="s">
        <v>39</v>
      </c>
      <c r="C13" s="111"/>
      <c r="D13" s="111"/>
      <c r="E13" s="111"/>
      <c r="F13" s="17"/>
      <c r="G13" s="112"/>
    </row>
    <row r="14" spans="1:7" ht="81.75" customHeight="1" x14ac:dyDescent="0.25">
      <c r="A14" s="107"/>
      <c r="B14" s="8" t="s">
        <v>40</v>
      </c>
      <c r="C14" s="109">
        <v>1</v>
      </c>
      <c r="D14" s="109">
        <v>3</v>
      </c>
      <c r="E14" s="109">
        <v>3</v>
      </c>
      <c r="F14" s="116" t="s">
        <v>132</v>
      </c>
      <c r="G14" s="110" t="s">
        <v>17</v>
      </c>
    </row>
    <row r="15" spans="1:7" ht="17.25" thickBot="1" x14ac:dyDescent="0.3">
      <c r="A15" s="107"/>
      <c r="B15" s="21" t="s">
        <v>42</v>
      </c>
      <c r="C15" s="111"/>
      <c r="D15" s="111"/>
      <c r="E15" s="111"/>
      <c r="F15" s="119"/>
      <c r="G15" s="112"/>
    </row>
    <row r="16" spans="1:7" ht="16.5" x14ac:dyDescent="0.25">
      <c r="A16" s="107"/>
      <c r="B16" s="8" t="s">
        <v>133</v>
      </c>
      <c r="C16" s="109">
        <v>1</v>
      </c>
      <c r="D16" s="109">
        <v>3</v>
      </c>
      <c r="E16" s="109">
        <v>3</v>
      </c>
      <c r="F16" s="19" t="s">
        <v>576</v>
      </c>
      <c r="G16" s="110" t="s">
        <v>17</v>
      </c>
    </row>
    <row r="17" spans="1:7" ht="16.5" x14ac:dyDescent="0.25">
      <c r="A17" s="107"/>
      <c r="B17" s="13" t="s">
        <v>134</v>
      </c>
      <c r="C17" s="104"/>
      <c r="D17" s="104"/>
      <c r="E17" s="104"/>
      <c r="F17" s="13" t="s">
        <v>577</v>
      </c>
      <c r="G17" s="107"/>
    </row>
    <row r="18" spans="1:7" ht="17.25" thickBot="1" x14ac:dyDescent="0.3">
      <c r="A18" s="107"/>
      <c r="B18" s="20"/>
      <c r="C18" s="111"/>
      <c r="D18" s="111"/>
      <c r="E18" s="111"/>
      <c r="F18" s="17"/>
      <c r="G18" s="112"/>
    </row>
    <row r="19" spans="1:7" ht="16.5" x14ac:dyDescent="0.25">
      <c r="A19" s="107"/>
      <c r="B19" s="8" t="s">
        <v>137</v>
      </c>
      <c r="C19" s="109">
        <v>1</v>
      </c>
      <c r="D19" s="109">
        <v>4</v>
      </c>
      <c r="E19" s="109">
        <v>4</v>
      </c>
      <c r="F19" s="13" t="s">
        <v>54</v>
      </c>
      <c r="G19" s="110" t="s">
        <v>47</v>
      </c>
    </row>
    <row r="20" spans="1:7" ht="16.5" x14ac:dyDescent="0.25">
      <c r="A20" s="107"/>
      <c r="B20" s="13" t="s">
        <v>55</v>
      </c>
      <c r="C20" s="104"/>
      <c r="D20" s="104"/>
      <c r="E20" s="104"/>
      <c r="F20" s="13" t="s">
        <v>56</v>
      </c>
      <c r="G20" s="107"/>
    </row>
    <row r="21" spans="1:7" ht="16.5" x14ac:dyDescent="0.25">
      <c r="A21" s="107"/>
      <c r="B21" s="13" t="s">
        <v>57</v>
      </c>
      <c r="C21" s="104"/>
      <c r="D21" s="104"/>
      <c r="E21" s="104"/>
      <c r="F21" s="13" t="s">
        <v>139</v>
      </c>
      <c r="G21" s="107"/>
    </row>
    <row r="22" spans="1:7" ht="17.25" thickBot="1" x14ac:dyDescent="0.3">
      <c r="A22" s="107"/>
      <c r="B22" s="16" t="s">
        <v>578</v>
      </c>
      <c r="C22" s="111"/>
      <c r="D22" s="111"/>
      <c r="E22" s="111"/>
      <c r="F22" s="17"/>
      <c r="G22" s="112"/>
    </row>
    <row r="23" spans="1:7" ht="16.5" x14ac:dyDescent="0.25">
      <c r="A23" s="107"/>
      <c r="B23" s="8" t="s">
        <v>140</v>
      </c>
      <c r="C23" s="109">
        <v>2</v>
      </c>
      <c r="D23" s="109">
        <v>4</v>
      </c>
      <c r="E23" s="109">
        <v>8</v>
      </c>
      <c r="F23" s="13" t="s">
        <v>581</v>
      </c>
      <c r="G23" s="23" t="s">
        <v>17</v>
      </c>
    </row>
    <row r="24" spans="1:7" ht="16.5" x14ac:dyDescent="0.25">
      <c r="A24" s="107"/>
      <c r="B24" s="13" t="s">
        <v>579</v>
      </c>
      <c r="C24" s="104"/>
      <c r="D24" s="104"/>
      <c r="E24" s="104"/>
      <c r="F24" s="13" t="s">
        <v>582</v>
      </c>
      <c r="G24" s="23" t="s">
        <v>47</v>
      </c>
    </row>
    <row r="25" spans="1:7" ht="16.5" x14ac:dyDescent="0.25">
      <c r="A25" s="107"/>
      <c r="B25" s="13" t="s">
        <v>580</v>
      </c>
      <c r="C25" s="104"/>
      <c r="D25" s="104"/>
      <c r="E25" s="104"/>
      <c r="F25" s="13" t="s">
        <v>583</v>
      </c>
      <c r="G25" s="15"/>
    </row>
    <row r="26" spans="1:7" ht="17.25" thickBot="1" x14ac:dyDescent="0.3">
      <c r="A26" s="107"/>
      <c r="B26" s="25"/>
      <c r="C26" s="105"/>
      <c r="D26" s="105"/>
      <c r="E26" s="105"/>
      <c r="F26" s="28" t="s">
        <v>584</v>
      </c>
      <c r="G26" s="25"/>
    </row>
    <row r="27" spans="1:7" ht="16.5" x14ac:dyDescent="0.25">
      <c r="A27" s="107"/>
      <c r="B27" s="8" t="s">
        <v>232</v>
      </c>
      <c r="C27" s="103">
        <v>1</v>
      </c>
      <c r="D27" s="103">
        <v>2</v>
      </c>
      <c r="E27" s="103">
        <v>2</v>
      </c>
      <c r="F27" s="13" t="s">
        <v>148</v>
      </c>
      <c r="G27" s="106" t="s">
        <v>47</v>
      </c>
    </row>
    <row r="28" spans="1:7" ht="16.5" x14ac:dyDescent="0.25">
      <c r="A28" s="107"/>
      <c r="B28" s="13" t="s">
        <v>585</v>
      </c>
      <c r="C28" s="104"/>
      <c r="D28" s="104"/>
      <c r="E28" s="104"/>
      <c r="F28" s="13" t="s">
        <v>587</v>
      </c>
      <c r="G28" s="107"/>
    </row>
    <row r="29" spans="1:7" ht="17.25" thickBot="1" x14ac:dyDescent="0.3">
      <c r="A29" s="108"/>
      <c r="B29" s="28" t="s">
        <v>586</v>
      </c>
      <c r="C29" s="105"/>
      <c r="D29" s="105"/>
      <c r="E29" s="105"/>
      <c r="F29" s="25"/>
      <c r="G29" s="108"/>
    </row>
    <row r="30" spans="1:7" ht="16.5" x14ac:dyDescent="0.25">
      <c r="A30" s="106" t="s">
        <v>81</v>
      </c>
      <c r="B30" s="8" t="s">
        <v>150</v>
      </c>
      <c r="C30" s="103">
        <v>3</v>
      </c>
      <c r="D30" s="103">
        <v>4</v>
      </c>
      <c r="E30" s="103">
        <v>12</v>
      </c>
      <c r="F30" s="13" t="s">
        <v>589</v>
      </c>
      <c r="G30" s="106" t="s">
        <v>591</v>
      </c>
    </row>
    <row r="31" spans="1:7" ht="16.5" x14ac:dyDescent="0.25">
      <c r="A31" s="107"/>
      <c r="B31" s="8" t="s">
        <v>325</v>
      </c>
      <c r="C31" s="104"/>
      <c r="D31" s="104"/>
      <c r="E31" s="104"/>
      <c r="F31" s="13" t="s">
        <v>154</v>
      </c>
      <c r="G31" s="107"/>
    </row>
    <row r="32" spans="1:7" ht="17.25" thickBot="1" x14ac:dyDescent="0.3">
      <c r="A32" s="107"/>
      <c r="B32" s="16" t="s">
        <v>588</v>
      </c>
      <c r="C32" s="111"/>
      <c r="D32" s="111"/>
      <c r="E32" s="111"/>
      <c r="F32" s="16" t="s">
        <v>590</v>
      </c>
      <c r="G32" s="112"/>
    </row>
    <row r="33" spans="1:7" ht="16.5" x14ac:dyDescent="0.25">
      <c r="A33" s="107"/>
      <c r="B33" s="8" t="s">
        <v>592</v>
      </c>
      <c r="C33" s="109">
        <v>3</v>
      </c>
      <c r="D33" s="109">
        <v>5</v>
      </c>
      <c r="E33" s="109">
        <v>15</v>
      </c>
      <c r="F33" s="13" t="s">
        <v>595</v>
      </c>
      <c r="G33" s="110" t="s">
        <v>47</v>
      </c>
    </row>
    <row r="34" spans="1:7" ht="16.5" x14ac:dyDescent="0.25">
      <c r="A34" s="107"/>
      <c r="B34" s="13" t="s">
        <v>593</v>
      </c>
      <c r="C34" s="104"/>
      <c r="D34" s="104"/>
      <c r="E34" s="104"/>
      <c r="F34" s="13" t="s">
        <v>596</v>
      </c>
      <c r="G34" s="107"/>
    </row>
    <row r="35" spans="1:7" ht="17.25" thickBot="1" x14ac:dyDescent="0.3">
      <c r="A35" s="107"/>
      <c r="B35" s="52" t="s">
        <v>594</v>
      </c>
      <c r="C35" s="111"/>
      <c r="D35" s="111"/>
      <c r="E35" s="111"/>
      <c r="F35" s="16" t="s">
        <v>597</v>
      </c>
      <c r="G35" s="112"/>
    </row>
    <row r="36" spans="1:7" ht="16.5" x14ac:dyDescent="0.25">
      <c r="A36" s="107"/>
      <c r="B36" s="8" t="s">
        <v>598</v>
      </c>
      <c r="C36" s="109">
        <v>1</v>
      </c>
      <c r="D36" s="109">
        <v>4</v>
      </c>
      <c r="E36" s="109">
        <v>4</v>
      </c>
      <c r="F36" s="13" t="s">
        <v>601</v>
      </c>
      <c r="G36" s="110" t="s">
        <v>17</v>
      </c>
    </row>
    <row r="37" spans="1:7" ht="16.5" x14ac:dyDescent="0.25">
      <c r="A37" s="107"/>
      <c r="B37" s="13" t="s">
        <v>599</v>
      </c>
      <c r="C37" s="104"/>
      <c r="D37" s="104"/>
      <c r="E37" s="104"/>
      <c r="F37" s="13" t="s">
        <v>602</v>
      </c>
      <c r="G37" s="107"/>
    </row>
    <row r="38" spans="1:7" ht="17.25" thickBot="1" x14ac:dyDescent="0.3">
      <c r="A38" s="107"/>
      <c r="B38" s="16" t="s">
        <v>600</v>
      </c>
      <c r="C38" s="111"/>
      <c r="D38" s="111"/>
      <c r="E38" s="111"/>
      <c r="F38" s="16" t="s">
        <v>603</v>
      </c>
      <c r="G38" s="112"/>
    </row>
    <row r="39" spans="1:7" ht="16.5" x14ac:dyDescent="0.25">
      <c r="A39" s="107"/>
      <c r="B39" s="8" t="s">
        <v>432</v>
      </c>
      <c r="C39" s="109">
        <v>1</v>
      </c>
      <c r="D39" s="109">
        <v>4</v>
      </c>
      <c r="E39" s="109">
        <v>4</v>
      </c>
      <c r="F39" s="19" t="s">
        <v>77</v>
      </c>
      <c r="G39" s="110" t="s">
        <v>47</v>
      </c>
    </row>
    <row r="40" spans="1:7" ht="16.5" x14ac:dyDescent="0.25">
      <c r="A40" s="107"/>
      <c r="B40" s="13" t="s">
        <v>604</v>
      </c>
      <c r="C40" s="104"/>
      <c r="D40" s="104"/>
      <c r="E40" s="104"/>
      <c r="F40" s="19" t="s">
        <v>605</v>
      </c>
      <c r="G40" s="107"/>
    </row>
    <row r="41" spans="1:7" ht="17.25" thickBot="1" x14ac:dyDescent="0.3">
      <c r="A41" s="108"/>
      <c r="B41" s="16" t="s">
        <v>80</v>
      </c>
      <c r="C41" s="111"/>
      <c r="D41" s="111"/>
      <c r="E41" s="111"/>
      <c r="F41" s="17"/>
      <c r="G41" s="112"/>
    </row>
    <row r="42" spans="1:7" ht="16.5" x14ac:dyDescent="0.25">
      <c r="A42" s="113"/>
      <c r="B42" s="8" t="s">
        <v>606</v>
      </c>
      <c r="C42" s="109">
        <v>3</v>
      </c>
      <c r="D42" s="109">
        <v>4</v>
      </c>
      <c r="E42" s="109">
        <v>12</v>
      </c>
      <c r="F42" s="19" t="s">
        <v>611</v>
      </c>
      <c r="G42" s="110" t="s">
        <v>47</v>
      </c>
    </row>
    <row r="43" spans="1:7" ht="16.5" x14ac:dyDescent="0.25">
      <c r="A43" s="114"/>
      <c r="B43" s="13" t="s">
        <v>607</v>
      </c>
      <c r="C43" s="104"/>
      <c r="D43" s="104"/>
      <c r="E43" s="104"/>
      <c r="F43" s="19" t="s">
        <v>612</v>
      </c>
      <c r="G43" s="107"/>
    </row>
    <row r="44" spans="1:7" ht="16.5" x14ac:dyDescent="0.25">
      <c r="A44" s="114"/>
      <c r="B44" s="13" t="s">
        <v>608</v>
      </c>
      <c r="C44" s="104"/>
      <c r="D44" s="104"/>
      <c r="E44" s="104"/>
      <c r="F44" s="19" t="s">
        <v>613</v>
      </c>
      <c r="G44" s="107"/>
    </row>
    <row r="45" spans="1:7" ht="16.5" x14ac:dyDescent="0.25">
      <c r="A45" s="114"/>
      <c r="B45" s="13" t="s">
        <v>609</v>
      </c>
      <c r="C45" s="104"/>
      <c r="D45" s="104"/>
      <c r="E45" s="104"/>
      <c r="F45" s="19" t="s">
        <v>614</v>
      </c>
      <c r="G45" s="107"/>
    </row>
    <row r="46" spans="1:7" ht="17.25" thickBot="1" x14ac:dyDescent="0.3">
      <c r="A46" s="115"/>
      <c r="B46" s="16" t="s">
        <v>610</v>
      </c>
      <c r="C46" s="111"/>
      <c r="D46" s="111"/>
      <c r="E46" s="111"/>
      <c r="F46" s="52" t="s">
        <v>615</v>
      </c>
      <c r="G46" s="112"/>
    </row>
    <row r="47" spans="1:7" ht="16.5" x14ac:dyDescent="0.25">
      <c r="A47" s="106" t="s">
        <v>173</v>
      </c>
      <c r="B47" s="8" t="s">
        <v>174</v>
      </c>
      <c r="C47" s="109">
        <v>1</v>
      </c>
      <c r="D47" s="109">
        <v>4</v>
      </c>
      <c r="E47" s="109">
        <v>4</v>
      </c>
      <c r="F47" s="13" t="s">
        <v>618</v>
      </c>
      <c r="G47" s="110" t="s">
        <v>47</v>
      </c>
    </row>
    <row r="48" spans="1:7" ht="16.5" x14ac:dyDescent="0.25">
      <c r="A48" s="107"/>
      <c r="B48" s="8" t="s">
        <v>84</v>
      </c>
      <c r="C48" s="104"/>
      <c r="D48" s="104"/>
      <c r="E48" s="104"/>
      <c r="F48" s="13" t="s">
        <v>85</v>
      </c>
      <c r="G48" s="107"/>
    </row>
    <row r="49" spans="1:7" ht="16.5" x14ac:dyDescent="0.25">
      <c r="A49" s="107"/>
      <c r="B49" s="13" t="s">
        <v>616</v>
      </c>
      <c r="C49" s="104"/>
      <c r="D49" s="104"/>
      <c r="E49" s="104"/>
      <c r="F49" s="19"/>
      <c r="G49" s="107"/>
    </row>
    <row r="50" spans="1:7" ht="17.25" thickBot="1" x14ac:dyDescent="0.3">
      <c r="A50" s="107"/>
      <c r="B50" s="28" t="s">
        <v>617</v>
      </c>
      <c r="C50" s="105"/>
      <c r="D50" s="105"/>
      <c r="E50" s="105"/>
      <c r="F50" s="25"/>
      <c r="G50" s="108"/>
    </row>
    <row r="51" spans="1:7" ht="16.5" x14ac:dyDescent="0.25">
      <c r="A51" s="107"/>
      <c r="B51" s="8" t="s">
        <v>88</v>
      </c>
      <c r="C51" s="103">
        <v>2</v>
      </c>
      <c r="D51" s="103">
        <v>4</v>
      </c>
      <c r="E51" s="103">
        <v>8</v>
      </c>
      <c r="F51" s="13" t="s">
        <v>620</v>
      </c>
      <c r="G51" s="106" t="s">
        <v>47</v>
      </c>
    </row>
    <row r="52" spans="1:7" ht="16.5" x14ac:dyDescent="0.25">
      <c r="A52" s="107"/>
      <c r="B52" s="13" t="s">
        <v>619</v>
      </c>
      <c r="C52" s="104"/>
      <c r="D52" s="104"/>
      <c r="E52" s="104"/>
      <c r="F52" s="13" t="s">
        <v>91</v>
      </c>
      <c r="G52" s="107"/>
    </row>
    <row r="53" spans="1:7" ht="17.25" thickBot="1" x14ac:dyDescent="0.3">
      <c r="A53" s="107"/>
      <c r="B53" s="28" t="s">
        <v>92</v>
      </c>
      <c r="C53" s="105"/>
      <c r="D53" s="105"/>
      <c r="E53" s="105"/>
      <c r="F53" s="25"/>
      <c r="G53" s="108"/>
    </row>
    <row r="54" spans="1:7" ht="16.5" x14ac:dyDescent="0.25">
      <c r="A54" s="107"/>
      <c r="B54" s="8" t="s">
        <v>93</v>
      </c>
      <c r="C54" s="103">
        <v>1</v>
      </c>
      <c r="D54" s="103">
        <v>4</v>
      </c>
      <c r="E54" s="103">
        <v>4</v>
      </c>
      <c r="F54" s="13" t="s">
        <v>623</v>
      </c>
      <c r="G54" s="106" t="s">
        <v>183</v>
      </c>
    </row>
    <row r="55" spans="1:7" ht="16.5" x14ac:dyDescent="0.25">
      <c r="A55" s="107"/>
      <c r="B55" s="13" t="s">
        <v>621</v>
      </c>
      <c r="C55" s="104"/>
      <c r="D55" s="104"/>
      <c r="E55" s="104"/>
      <c r="F55" s="13" t="s">
        <v>97</v>
      </c>
      <c r="G55" s="107"/>
    </row>
    <row r="56" spans="1:7" ht="17.25" thickBot="1" x14ac:dyDescent="0.3">
      <c r="A56" s="108"/>
      <c r="B56" s="28" t="s">
        <v>622</v>
      </c>
      <c r="C56" s="105"/>
      <c r="D56" s="105"/>
      <c r="E56" s="105"/>
      <c r="F56" s="25"/>
      <c r="G56" s="108"/>
    </row>
    <row r="57" spans="1:7" ht="16.5" x14ac:dyDescent="0.25">
      <c r="A57" s="113"/>
      <c r="B57" s="11" t="s">
        <v>624</v>
      </c>
      <c r="C57" s="103">
        <v>4</v>
      </c>
      <c r="D57" s="103">
        <v>3</v>
      </c>
      <c r="E57" s="103">
        <v>12</v>
      </c>
      <c r="F57" s="13" t="s">
        <v>626</v>
      </c>
      <c r="G57" s="106" t="s">
        <v>102</v>
      </c>
    </row>
    <row r="58" spans="1:7" ht="16.5" x14ac:dyDescent="0.25">
      <c r="A58" s="114"/>
      <c r="B58" s="19" t="s">
        <v>625</v>
      </c>
      <c r="C58" s="104"/>
      <c r="D58" s="104"/>
      <c r="E58" s="104"/>
      <c r="F58" s="13" t="s">
        <v>627</v>
      </c>
      <c r="G58" s="107"/>
    </row>
    <row r="59" spans="1:7" ht="17.25" thickBot="1" x14ac:dyDescent="0.3">
      <c r="A59" s="115"/>
      <c r="B59" s="25"/>
      <c r="C59" s="105"/>
      <c r="D59" s="105"/>
      <c r="E59" s="105"/>
      <c r="F59" s="28" t="s">
        <v>628</v>
      </c>
      <c r="G59" s="108"/>
    </row>
    <row r="60" spans="1:7" ht="16.5" x14ac:dyDescent="0.25">
      <c r="A60" s="106" t="s">
        <v>184</v>
      </c>
      <c r="B60" s="8" t="s">
        <v>185</v>
      </c>
      <c r="C60" s="103">
        <v>1</v>
      </c>
      <c r="D60" s="103">
        <v>5</v>
      </c>
      <c r="E60" s="103">
        <v>5</v>
      </c>
      <c r="F60" s="19" t="s">
        <v>101</v>
      </c>
      <c r="G60" s="106" t="s">
        <v>102</v>
      </c>
    </row>
    <row r="61" spans="1:7" ht="16.5" x14ac:dyDescent="0.25">
      <c r="A61" s="107"/>
      <c r="B61" s="19" t="s">
        <v>103</v>
      </c>
      <c r="C61" s="104"/>
      <c r="D61" s="104"/>
      <c r="E61" s="104"/>
      <c r="F61" s="19" t="s">
        <v>104</v>
      </c>
      <c r="G61" s="107"/>
    </row>
    <row r="62" spans="1:7" ht="16.5" x14ac:dyDescent="0.25">
      <c r="A62" s="107"/>
      <c r="B62" s="19" t="s">
        <v>105</v>
      </c>
      <c r="C62" s="104"/>
      <c r="D62" s="104"/>
      <c r="E62" s="104"/>
      <c r="F62" s="19" t="s">
        <v>106</v>
      </c>
      <c r="G62" s="107"/>
    </row>
    <row r="63" spans="1:7" ht="16.5" x14ac:dyDescent="0.25">
      <c r="A63" s="107"/>
      <c r="B63" s="19" t="s">
        <v>107</v>
      </c>
      <c r="C63" s="104"/>
      <c r="D63" s="104"/>
      <c r="E63" s="104"/>
      <c r="F63" s="19" t="s">
        <v>108</v>
      </c>
      <c r="G63" s="107"/>
    </row>
    <row r="64" spans="1:7" ht="16.5" x14ac:dyDescent="0.25">
      <c r="A64" s="107"/>
      <c r="B64" s="19" t="s">
        <v>109</v>
      </c>
      <c r="C64" s="104"/>
      <c r="D64" s="104"/>
      <c r="E64" s="104"/>
      <c r="F64" s="19" t="s">
        <v>110</v>
      </c>
      <c r="G64" s="107"/>
    </row>
    <row r="65" spans="1:7" ht="16.5" x14ac:dyDescent="0.25">
      <c r="A65" s="107"/>
      <c r="B65" s="19" t="s">
        <v>111</v>
      </c>
      <c r="C65" s="104"/>
      <c r="D65" s="104"/>
      <c r="E65" s="104"/>
      <c r="F65" s="19" t="s">
        <v>112</v>
      </c>
      <c r="G65" s="107"/>
    </row>
    <row r="66" spans="1:7" ht="16.5" x14ac:dyDescent="0.25">
      <c r="A66" s="107"/>
      <c r="B66" s="19" t="s">
        <v>113</v>
      </c>
      <c r="C66" s="104"/>
      <c r="D66" s="104"/>
      <c r="E66" s="104"/>
      <c r="F66" s="19" t="s">
        <v>114</v>
      </c>
      <c r="G66" s="107"/>
    </row>
    <row r="67" spans="1:7" ht="16.5" x14ac:dyDescent="0.25">
      <c r="A67" s="107"/>
      <c r="B67" s="19" t="s">
        <v>115</v>
      </c>
      <c r="C67" s="104"/>
      <c r="D67" s="104"/>
      <c r="E67" s="104"/>
      <c r="F67" s="19" t="s">
        <v>116</v>
      </c>
      <c r="G67" s="107"/>
    </row>
    <row r="68" spans="1:7" ht="16.5" x14ac:dyDescent="0.25">
      <c r="A68" s="107"/>
      <c r="B68" s="19" t="s">
        <v>117</v>
      </c>
      <c r="C68" s="104"/>
      <c r="D68" s="104"/>
      <c r="E68" s="104"/>
      <c r="F68" s="19" t="s">
        <v>118</v>
      </c>
      <c r="G68" s="107"/>
    </row>
    <row r="69" spans="1:7" ht="16.5" x14ac:dyDescent="0.25">
      <c r="A69" s="107"/>
      <c r="B69" s="19" t="s">
        <v>119</v>
      </c>
      <c r="C69" s="104"/>
      <c r="D69" s="104"/>
      <c r="E69" s="104"/>
      <c r="F69" s="19" t="s">
        <v>120</v>
      </c>
      <c r="G69" s="107"/>
    </row>
    <row r="70" spans="1:7" ht="17.25" thickBot="1" x14ac:dyDescent="0.3">
      <c r="A70" s="108"/>
      <c r="B70" s="31" t="s">
        <v>629</v>
      </c>
      <c r="C70" s="105"/>
      <c r="D70" s="105"/>
      <c r="E70" s="105"/>
      <c r="F70" s="31"/>
      <c r="G70" s="108"/>
    </row>
    <row r="71" spans="1:7" ht="17.25" thickBot="1" x14ac:dyDescent="0.3">
      <c r="A71" s="18"/>
      <c r="B71" s="100" t="s">
        <v>121</v>
      </c>
      <c r="C71" s="101"/>
      <c r="D71" s="102"/>
      <c r="E71" s="32">
        <v>117</v>
      </c>
      <c r="F71" s="33"/>
      <c r="G71" s="34"/>
    </row>
  </sheetData>
  <mergeCells count="79">
    <mergeCell ref="A4:A10"/>
    <mergeCell ref="C4:C7"/>
    <mergeCell ref="D4:D7"/>
    <mergeCell ref="E4:E7"/>
    <mergeCell ref="C8:C10"/>
    <mergeCell ref="D8:D10"/>
    <mergeCell ref="E8:E10"/>
    <mergeCell ref="D14:D15"/>
    <mergeCell ref="E14:E15"/>
    <mergeCell ref="F14:F15"/>
    <mergeCell ref="G14:G15"/>
    <mergeCell ref="B1:B3"/>
    <mergeCell ref="C16:C18"/>
    <mergeCell ref="D16:D18"/>
    <mergeCell ref="E16:E18"/>
    <mergeCell ref="G16:G18"/>
    <mergeCell ref="C19:C22"/>
    <mergeCell ref="D19:D22"/>
    <mergeCell ref="E19:E22"/>
    <mergeCell ref="G19:G22"/>
    <mergeCell ref="C23:C26"/>
    <mergeCell ref="D23:D26"/>
    <mergeCell ref="E23:E26"/>
    <mergeCell ref="C27:C29"/>
    <mergeCell ref="D27:D29"/>
    <mergeCell ref="E27:E29"/>
    <mergeCell ref="G27:G29"/>
    <mergeCell ref="A30:A41"/>
    <mergeCell ref="C30:C32"/>
    <mergeCell ref="D30:D32"/>
    <mergeCell ref="E30:E32"/>
    <mergeCell ref="G30:G32"/>
    <mergeCell ref="C33:C35"/>
    <mergeCell ref="D33:D35"/>
    <mergeCell ref="E33:E35"/>
    <mergeCell ref="G33:G35"/>
    <mergeCell ref="A11:A29"/>
    <mergeCell ref="C11:C13"/>
    <mergeCell ref="D11:D13"/>
    <mergeCell ref="E11:E13"/>
    <mergeCell ref="G11:G13"/>
    <mergeCell ref="C14:C15"/>
    <mergeCell ref="C36:C38"/>
    <mergeCell ref="D36:D38"/>
    <mergeCell ref="E36:E38"/>
    <mergeCell ref="G36:G38"/>
    <mergeCell ref="C39:C41"/>
    <mergeCell ref="D39:D41"/>
    <mergeCell ref="E39:E41"/>
    <mergeCell ref="G39:G41"/>
    <mergeCell ref="A47:A56"/>
    <mergeCell ref="C47:C50"/>
    <mergeCell ref="D47:D50"/>
    <mergeCell ref="E47:E50"/>
    <mergeCell ref="G47:G50"/>
    <mergeCell ref="A42:A46"/>
    <mergeCell ref="C42:C46"/>
    <mergeCell ref="D42:D46"/>
    <mergeCell ref="E42:E46"/>
    <mergeCell ref="G42:G46"/>
    <mergeCell ref="C51:C53"/>
    <mergeCell ref="D51:D53"/>
    <mergeCell ref="E51:E53"/>
    <mergeCell ref="G51:G53"/>
    <mergeCell ref="C54:C56"/>
    <mergeCell ref="D54:D56"/>
    <mergeCell ref="E54:E56"/>
    <mergeCell ref="G54:G56"/>
    <mergeCell ref="G57:G59"/>
    <mergeCell ref="A60:A70"/>
    <mergeCell ref="C60:C70"/>
    <mergeCell ref="D60:D70"/>
    <mergeCell ref="E60:E70"/>
    <mergeCell ref="G60:G70"/>
    <mergeCell ref="B71:D71"/>
    <mergeCell ref="A57:A59"/>
    <mergeCell ref="C57:C59"/>
    <mergeCell ref="D57:D59"/>
    <mergeCell ref="E57:E5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0A32E-E55B-46A1-A35F-DC9D5CAEA4E1}">
  <dimension ref="A1:G64"/>
  <sheetViews>
    <sheetView topLeftCell="A26" zoomScale="70" zoomScaleNormal="70" workbookViewId="0">
      <selection activeCell="E44" sqref="E44:E63"/>
    </sheetView>
  </sheetViews>
  <sheetFormatPr defaultRowHeight="15" x14ac:dyDescent="0.25"/>
  <cols>
    <col min="1" max="1" width="6.85546875" bestFit="1" customWidth="1"/>
    <col min="2" max="2" width="178.140625" bestFit="1" customWidth="1"/>
    <col min="3" max="3" width="11.140625" bestFit="1" customWidth="1"/>
    <col min="4" max="4" width="9" bestFit="1" customWidth="1"/>
    <col min="5" max="5" width="7.5703125" bestFit="1" customWidth="1"/>
    <col min="6" max="6" width="228.5703125" bestFit="1" customWidth="1"/>
    <col min="7" max="7" width="66.85546875" bestFit="1" customWidth="1"/>
  </cols>
  <sheetData>
    <row r="1" spans="1:7" ht="16.5" x14ac:dyDescent="0.25">
      <c r="A1" s="43" t="s">
        <v>0</v>
      </c>
      <c r="B1" s="120" t="s">
        <v>1</v>
      </c>
      <c r="C1" s="44" t="s">
        <v>2</v>
      </c>
      <c r="D1" s="44" t="s">
        <v>3</v>
      </c>
      <c r="E1" s="44" t="s">
        <v>0</v>
      </c>
      <c r="F1" s="44" t="s">
        <v>4</v>
      </c>
      <c r="G1" s="44" t="s">
        <v>5</v>
      </c>
    </row>
    <row r="2" spans="1:7" ht="16.5" x14ac:dyDescent="0.25">
      <c r="A2" s="45" t="s">
        <v>6</v>
      </c>
      <c r="B2" s="121"/>
      <c r="C2" s="46" t="s">
        <v>7</v>
      </c>
      <c r="D2" s="46" t="s">
        <v>8</v>
      </c>
      <c r="E2" s="46" t="s">
        <v>9</v>
      </c>
      <c r="F2" s="46" t="s">
        <v>10</v>
      </c>
      <c r="G2" s="46" t="s">
        <v>11</v>
      </c>
    </row>
    <row r="3" spans="1:7" ht="17.25" thickBot="1" x14ac:dyDescent="0.3">
      <c r="A3" s="58"/>
      <c r="B3" s="122"/>
      <c r="C3" s="47" t="s">
        <v>12</v>
      </c>
      <c r="D3" s="47" t="s">
        <v>12</v>
      </c>
      <c r="E3" s="47" t="s">
        <v>13</v>
      </c>
      <c r="F3" s="41"/>
      <c r="G3" s="41"/>
    </row>
    <row r="4" spans="1:7" ht="21" x14ac:dyDescent="0.25">
      <c r="A4" s="110" t="s">
        <v>14</v>
      </c>
      <c r="B4" s="8" t="s">
        <v>15</v>
      </c>
      <c r="C4" s="103">
        <v>1</v>
      </c>
      <c r="D4" s="103">
        <v>3</v>
      </c>
      <c r="E4" s="103">
        <v>3</v>
      </c>
      <c r="F4" s="9" t="s">
        <v>708</v>
      </c>
      <c r="G4" s="23" t="s">
        <v>17</v>
      </c>
    </row>
    <row r="5" spans="1:7" ht="21" x14ac:dyDescent="0.25">
      <c r="A5" s="107"/>
      <c r="B5" s="8" t="s">
        <v>122</v>
      </c>
      <c r="C5" s="104"/>
      <c r="D5" s="104"/>
      <c r="E5" s="104"/>
      <c r="F5" s="9" t="s">
        <v>125</v>
      </c>
      <c r="G5" s="23" t="s">
        <v>47</v>
      </c>
    </row>
    <row r="6" spans="1:7" ht="21" x14ac:dyDescent="0.25">
      <c r="A6" s="107"/>
      <c r="B6" s="13" t="s">
        <v>707</v>
      </c>
      <c r="C6" s="104"/>
      <c r="D6" s="104"/>
      <c r="E6" s="104"/>
      <c r="F6" s="9" t="s">
        <v>709</v>
      </c>
      <c r="G6" s="15"/>
    </row>
    <row r="7" spans="1:7" ht="17.25" thickBot="1" x14ac:dyDescent="0.3">
      <c r="A7" s="107"/>
      <c r="B7" s="20"/>
      <c r="C7" s="111"/>
      <c r="D7" s="111"/>
      <c r="E7" s="111"/>
      <c r="F7" s="17"/>
      <c r="G7" s="25"/>
    </row>
    <row r="8" spans="1:7" ht="21" x14ac:dyDescent="0.25">
      <c r="A8" s="107"/>
      <c r="B8" s="8" t="s">
        <v>127</v>
      </c>
      <c r="C8" s="109">
        <v>1</v>
      </c>
      <c r="D8" s="109">
        <v>3</v>
      </c>
      <c r="E8" s="109">
        <v>3</v>
      </c>
      <c r="F8" s="9" t="s">
        <v>708</v>
      </c>
      <c r="G8" s="23" t="s">
        <v>17</v>
      </c>
    </row>
    <row r="9" spans="1:7" ht="21" x14ac:dyDescent="0.25">
      <c r="A9" s="107"/>
      <c r="B9" s="13" t="s">
        <v>710</v>
      </c>
      <c r="C9" s="104"/>
      <c r="D9" s="104"/>
      <c r="E9" s="104"/>
      <c r="F9" s="9" t="s">
        <v>125</v>
      </c>
      <c r="G9" s="23" t="s">
        <v>47</v>
      </c>
    </row>
    <row r="10" spans="1:7" ht="21.75" thickBot="1" x14ac:dyDescent="0.3">
      <c r="A10" s="108"/>
      <c r="B10" s="20"/>
      <c r="C10" s="111"/>
      <c r="D10" s="111"/>
      <c r="E10" s="111"/>
      <c r="F10" s="42" t="s">
        <v>129</v>
      </c>
      <c r="G10" s="25"/>
    </row>
    <row r="11" spans="1:7" ht="16.5" x14ac:dyDescent="0.25">
      <c r="A11" s="106" t="s">
        <v>34</v>
      </c>
      <c r="B11" s="8" t="s">
        <v>35</v>
      </c>
      <c r="C11" s="109">
        <v>1</v>
      </c>
      <c r="D11" s="109">
        <v>4</v>
      </c>
      <c r="E11" s="109">
        <v>4</v>
      </c>
      <c r="F11" s="19" t="s">
        <v>130</v>
      </c>
      <c r="G11" s="106" t="s">
        <v>17</v>
      </c>
    </row>
    <row r="12" spans="1:7" ht="16.5" x14ac:dyDescent="0.25">
      <c r="A12" s="107"/>
      <c r="B12" s="8" t="s">
        <v>37</v>
      </c>
      <c r="C12" s="104"/>
      <c r="D12" s="104"/>
      <c r="E12" s="104"/>
      <c r="F12" s="19" t="s">
        <v>131</v>
      </c>
      <c r="G12" s="107"/>
    </row>
    <row r="13" spans="1:7" ht="16.5" x14ac:dyDescent="0.25">
      <c r="A13" s="107"/>
      <c r="B13" s="13" t="s">
        <v>266</v>
      </c>
      <c r="C13" s="104"/>
      <c r="D13" s="104"/>
      <c r="E13" s="104"/>
      <c r="F13" s="15"/>
      <c r="G13" s="107"/>
    </row>
    <row r="14" spans="1:7" x14ac:dyDescent="0.25">
      <c r="A14" s="107"/>
      <c r="B14" s="15"/>
      <c r="C14" s="104"/>
      <c r="D14" s="104"/>
      <c r="E14" s="104"/>
      <c r="F14" s="15"/>
      <c r="G14" s="107"/>
    </row>
    <row r="15" spans="1:7" ht="15.75" thickBot="1" x14ac:dyDescent="0.3">
      <c r="A15" s="107"/>
      <c r="B15" s="17"/>
      <c r="C15" s="111"/>
      <c r="D15" s="111"/>
      <c r="E15" s="111"/>
      <c r="F15" s="17"/>
      <c r="G15" s="107"/>
    </row>
    <row r="16" spans="1:7" ht="16.5" x14ac:dyDescent="0.25">
      <c r="A16" s="107"/>
      <c r="B16" s="8" t="s">
        <v>40</v>
      </c>
      <c r="C16" s="109">
        <v>1</v>
      </c>
      <c r="D16" s="109">
        <v>4</v>
      </c>
      <c r="E16" s="109">
        <v>4</v>
      </c>
      <c r="F16" s="128" t="s">
        <v>414</v>
      </c>
      <c r="G16" s="107"/>
    </row>
    <row r="17" spans="1:7" ht="17.25" thickBot="1" x14ac:dyDescent="0.3">
      <c r="A17" s="107"/>
      <c r="B17" s="52" t="s">
        <v>711</v>
      </c>
      <c r="C17" s="111"/>
      <c r="D17" s="111"/>
      <c r="E17" s="111"/>
      <c r="F17" s="129"/>
      <c r="G17" s="107"/>
    </row>
    <row r="18" spans="1:7" ht="16.5" x14ac:dyDescent="0.25">
      <c r="A18" s="107"/>
      <c r="B18" s="8" t="s">
        <v>133</v>
      </c>
      <c r="C18" s="109">
        <v>1</v>
      </c>
      <c r="D18" s="109">
        <v>3</v>
      </c>
      <c r="E18" s="109">
        <v>3</v>
      </c>
      <c r="F18" s="19" t="s">
        <v>712</v>
      </c>
      <c r="G18" s="107"/>
    </row>
    <row r="19" spans="1:7" ht="16.5" x14ac:dyDescent="0.25">
      <c r="A19" s="107"/>
      <c r="B19" s="13" t="s">
        <v>134</v>
      </c>
      <c r="C19" s="104"/>
      <c r="D19" s="104"/>
      <c r="E19" s="104"/>
      <c r="F19" s="19" t="s">
        <v>713</v>
      </c>
      <c r="G19" s="107"/>
    </row>
    <row r="20" spans="1:7" ht="17.25" thickBot="1" x14ac:dyDescent="0.3">
      <c r="A20" s="107"/>
      <c r="B20" s="53"/>
      <c r="C20" s="111"/>
      <c r="D20" s="111"/>
      <c r="E20" s="111"/>
      <c r="F20" s="17"/>
      <c r="G20" s="107"/>
    </row>
    <row r="21" spans="1:7" ht="16.5" x14ac:dyDescent="0.25">
      <c r="A21" s="107"/>
      <c r="B21" s="8" t="s">
        <v>714</v>
      </c>
      <c r="C21" s="109">
        <v>1</v>
      </c>
      <c r="D21" s="109">
        <v>3</v>
      </c>
      <c r="E21" s="109">
        <v>3</v>
      </c>
      <c r="F21" s="126" t="s">
        <v>716</v>
      </c>
      <c r="G21" s="107"/>
    </row>
    <row r="22" spans="1:7" ht="17.25" thickBot="1" x14ac:dyDescent="0.3">
      <c r="A22" s="107"/>
      <c r="B22" s="52" t="s">
        <v>715</v>
      </c>
      <c r="C22" s="111"/>
      <c r="D22" s="111"/>
      <c r="E22" s="111"/>
      <c r="F22" s="127"/>
      <c r="G22" s="107"/>
    </row>
    <row r="23" spans="1:7" ht="16.5" x14ac:dyDescent="0.25">
      <c r="A23" s="107"/>
      <c r="B23" s="8" t="s">
        <v>53</v>
      </c>
      <c r="C23" s="109">
        <v>1</v>
      </c>
      <c r="D23" s="109">
        <v>4</v>
      </c>
      <c r="E23" s="109">
        <v>4</v>
      </c>
      <c r="F23" s="13" t="s">
        <v>54</v>
      </c>
      <c r="G23" s="107"/>
    </row>
    <row r="24" spans="1:7" ht="16.5" x14ac:dyDescent="0.25">
      <c r="A24" s="107"/>
      <c r="B24" s="13" t="s">
        <v>55</v>
      </c>
      <c r="C24" s="104"/>
      <c r="D24" s="104"/>
      <c r="E24" s="104"/>
      <c r="F24" s="13" t="s">
        <v>56</v>
      </c>
      <c r="G24" s="107"/>
    </row>
    <row r="25" spans="1:7" ht="16.5" x14ac:dyDescent="0.25">
      <c r="A25" s="107"/>
      <c r="B25" s="13" t="s">
        <v>57</v>
      </c>
      <c r="C25" s="104"/>
      <c r="D25" s="104"/>
      <c r="E25" s="104"/>
      <c r="F25" s="13" t="s">
        <v>139</v>
      </c>
      <c r="G25" s="107"/>
    </row>
    <row r="26" spans="1:7" ht="17.25" thickBot="1" x14ac:dyDescent="0.3">
      <c r="A26" s="107"/>
      <c r="B26" s="16" t="s">
        <v>717</v>
      </c>
      <c r="C26" s="111"/>
      <c r="D26" s="111"/>
      <c r="E26" s="111"/>
      <c r="F26" s="17"/>
      <c r="G26" s="108"/>
    </row>
    <row r="27" spans="1:7" ht="16.5" x14ac:dyDescent="0.25">
      <c r="A27" s="107"/>
      <c r="B27" s="8" t="s">
        <v>718</v>
      </c>
      <c r="C27" s="109">
        <v>3</v>
      </c>
      <c r="D27" s="109">
        <v>5</v>
      </c>
      <c r="E27" s="109">
        <v>15</v>
      </c>
      <c r="F27" s="13" t="s">
        <v>512</v>
      </c>
      <c r="G27" s="113"/>
    </row>
    <row r="28" spans="1:7" ht="16.5" x14ac:dyDescent="0.25">
      <c r="A28" s="107"/>
      <c r="B28" s="13" t="s">
        <v>719</v>
      </c>
      <c r="C28" s="104"/>
      <c r="D28" s="104"/>
      <c r="E28" s="104"/>
      <c r="F28" s="13" t="s">
        <v>722</v>
      </c>
      <c r="G28" s="114"/>
    </row>
    <row r="29" spans="1:7" ht="16.5" x14ac:dyDescent="0.25">
      <c r="A29" s="107"/>
      <c r="B29" s="13" t="s">
        <v>720</v>
      </c>
      <c r="C29" s="104"/>
      <c r="D29" s="104"/>
      <c r="E29" s="104"/>
      <c r="F29" s="13" t="s">
        <v>514</v>
      </c>
      <c r="G29" s="114"/>
    </row>
    <row r="30" spans="1:7" ht="17.25" thickBot="1" x14ac:dyDescent="0.3">
      <c r="A30" s="107"/>
      <c r="B30" s="16" t="s">
        <v>721</v>
      </c>
      <c r="C30" s="111"/>
      <c r="D30" s="111"/>
      <c r="E30" s="111"/>
      <c r="F30" s="17"/>
      <c r="G30" s="115"/>
    </row>
    <row r="31" spans="1:7" ht="16.5" x14ac:dyDescent="0.25">
      <c r="A31" s="107"/>
      <c r="B31" s="8" t="s">
        <v>723</v>
      </c>
      <c r="C31" s="109">
        <v>1</v>
      </c>
      <c r="D31" s="109">
        <v>3</v>
      </c>
      <c r="E31" s="109">
        <v>3</v>
      </c>
      <c r="F31" s="13" t="s">
        <v>148</v>
      </c>
      <c r="G31" s="113"/>
    </row>
    <row r="32" spans="1:7" ht="16.5" x14ac:dyDescent="0.25">
      <c r="A32" s="107"/>
      <c r="B32" s="13" t="s">
        <v>724</v>
      </c>
      <c r="C32" s="104"/>
      <c r="D32" s="104"/>
      <c r="E32" s="104"/>
      <c r="F32" s="13" t="s">
        <v>726</v>
      </c>
      <c r="G32" s="114"/>
    </row>
    <row r="33" spans="1:7" ht="17.25" thickBot="1" x14ac:dyDescent="0.3">
      <c r="A33" s="108"/>
      <c r="B33" s="16" t="s">
        <v>725</v>
      </c>
      <c r="C33" s="111"/>
      <c r="D33" s="111"/>
      <c r="E33" s="111"/>
      <c r="F33" s="17"/>
      <c r="G33" s="115"/>
    </row>
    <row r="34" spans="1:7" ht="16.5" x14ac:dyDescent="0.25">
      <c r="A34" s="106" t="s">
        <v>81</v>
      </c>
      <c r="B34" s="8" t="s">
        <v>150</v>
      </c>
      <c r="C34" s="109">
        <v>2</v>
      </c>
      <c r="D34" s="109">
        <v>3</v>
      </c>
      <c r="E34" s="109">
        <v>6</v>
      </c>
      <c r="F34" s="13" t="s">
        <v>729</v>
      </c>
      <c r="G34" s="113"/>
    </row>
    <row r="35" spans="1:7" ht="16.5" x14ac:dyDescent="0.25">
      <c r="A35" s="107"/>
      <c r="B35" s="8" t="s">
        <v>325</v>
      </c>
      <c r="C35" s="104"/>
      <c r="D35" s="104"/>
      <c r="E35" s="104"/>
      <c r="F35" s="13" t="s">
        <v>154</v>
      </c>
      <c r="G35" s="114"/>
    </row>
    <row r="36" spans="1:7" ht="16.5" x14ac:dyDescent="0.25">
      <c r="A36" s="107"/>
      <c r="B36" s="13" t="s">
        <v>727</v>
      </c>
      <c r="C36" s="104"/>
      <c r="D36" s="104"/>
      <c r="E36" s="104"/>
      <c r="F36" s="13" t="s">
        <v>730</v>
      </c>
      <c r="G36" s="114"/>
    </row>
    <row r="37" spans="1:7" ht="16.5" x14ac:dyDescent="0.25">
      <c r="A37" s="107"/>
      <c r="B37" s="13" t="s">
        <v>728</v>
      </c>
      <c r="C37" s="104"/>
      <c r="D37" s="104"/>
      <c r="E37" s="104"/>
      <c r="F37" s="13" t="s">
        <v>731</v>
      </c>
      <c r="G37" s="114"/>
    </row>
    <row r="38" spans="1:7" ht="17.25" thickBot="1" x14ac:dyDescent="0.3">
      <c r="A38" s="107"/>
      <c r="B38" s="17"/>
      <c r="C38" s="111"/>
      <c r="D38" s="111"/>
      <c r="E38" s="111"/>
      <c r="F38" s="16" t="s">
        <v>732</v>
      </c>
      <c r="G38" s="114"/>
    </row>
    <row r="39" spans="1:7" ht="16.5" x14ac:dyDescent="0.25">
      <c r="A39" s="107"/>
      <c r="B39" s="8" t="s">
        <v>282</v>
      </c>
      <c r="C39" s="109">
        <v>2</v>
      </c>
      <c r="D39" s="109">
        <v>5</v>
      </c>
      <c r="E39" s="109">
        <v>10</v>
      </c>
      <c r="F39" s="13" t="s">
        <v>736</v>
      </c>
      <c r="G39" s="114"/>
    </row>
    <row r="40" spans="1:7" ht="16.5" x14ac:dyDescent="0.25">
      <c r="A40" s="107"/>
      <c r="B40" s="13" t="s">
        <v>733</v>
      </c>
      <c r="C40" s="104"/>
      <c r="D40" s="104"/>
      <c r="E40" s="104"/>
      <c r="F40" s="13" t="s">
        <v>737</v>
      </c>
      <c r="G40" s="114"/>
    </row>
    <row r="41" spans="1:7" ht="16.5" x14ac:dyDescent="0.25">
      <c r="A41" s="107"/>
      <c r="B41" s="13" t="s">
        <v>734</v>
      </c>
      <c r="C41" s="104"/>
      <c r="D41" s="104"/>
      <c r="E41" s="104"/>
      <c r="F41" s="15"/>
      <c r="G41" s="114"/>
    </row>
    <row r="42" spans="1:7" ht="17.25" thickBot="1" x14ac:dyDescent="0.3">
      <c r="A42" s="108"/>
      <c r="B42" s="16" t="s">
        <v>735</v>
      </c>
      <c r="C42" s="111"/>
      <c r="D42" s="111"/>
      <c r="E42" s="111"/>
      <c r="F42" s="17"/>
      <c r="G42" s="115"/>
    </row>
    <row r="43" spans="1:7" ht="33.75" thickBot="1" x14ac:dyDescent="0.3">
      <c r="A43" s="10"/>
      <c r="B43" s="82" t="s">
        <v>748</v>
      </c>
      <c r="C43" s="12">
        <v>4</v>
      </c>
      <c r="D43" s="12">
        <v>5</v>
      </c>
      <c r="E43" s="12">
        <v>20</v>
      </c>
      <c r="F43" s="15"/>
      <c r="G43" s="14"/>
    </row>
    <row r="44" spans="1:7" ht="16.5" x14ac:dyDescent="0.25">
      <c r="A44" s="106" t="s">
        <v>173</v>
      </c>
      <c r="B44" s="8" t="s">
        <v>174</v>
      </c>
      <c r="C44" s="109">
        <v>1</v>
      </c>
      <c r="D44" s="109">
        <v>5</v>
      </c>
      <c r="E44" s="109">
        <v>5</v>
      </c>
      <c r="F44" s="13" t="s">
        <v>740</v>
      </c>
      <c r="G44" s="23" t="s">
        <v>17</v>
      </c>
    </row>
    <row r="45" spans="1:7" ht="16.5" x14ac:dyDescent="0.25">
      <c r="A45" s="107"/>
      <c r="B45" s="8" t="s">
        <v>84</v>
      </c>
      <c r="C45" s="104"/>
      <c r="D45" s="104"/>
      <c r="E45" s="104"/>
      <c r="F45" s="13" t="s">
        <v>85</v>
      </c>
      <c r="G45" s="23" t="s">
        <v>47</v>
      </c>
    </row>
    <row r="46" spans="1:7" ht="16.5" x14ac:dyDescent="0.25">
      <c r="A46" s="107"/>
      <c r="B46" s="13" t="s">
        <v>738</v>
      </c>
      <c r="C46" s="104"/>
      <c r="D46" s="104"/>
      <c r="E46" s="104"/>
      <c r="F46" s="13" t="s">
        <v>741</v>
      </c>
      <c r="G46" s="23" t="s">
        <v>17</v>
      </c>
    </row>
    <row r="47" spans="1:7" ht="17.25" thickBot="1" x14ac:dyDescent="0.3">
      <c r="A47" s="107"/>
      <c r="B47" s="16" t="s">
        <v>739</v>
      </c>
      <c r="C47" s="111"/>
      <c r="D47" s="111"/>
      <c r="E47" s="111"/>
      <c r="F47" s="17"/>
      <c r="G47" s="23" t="s">
        <v>47</v>
      </c>
    </row>
    <row r="48" spans="1:7" ht="16.5" x14ac:dyDescent="0.25">
      <c r="A48" s="107"/>
      <c r="B48" s="8" t="s">
        <v>88</v>
      </c>
      <c r="C48" s="109">
        <v>1</v>
      </c>
      <c r="D48" s="109">
        <v>5</v>
      </c>
      <c r="E48" s="109">
        <v>5</v>
      </c>
      <c r="F48" s="13" t="s">
        <v>743</v>
      </c>
      <c r="G48" s="15"/>
    </row>
    <row r="49" spans="1:7" ht="16.5" x14ac:dyDescent="0.25">
      <c r="A49" s="107"/>
      <c r="B49" s="13" t="s">
        <v>742</v>
      </c>
      <c r="C49" s="104"/>
      <c r="D49" s="104"/>
      <c r="E49" s="104"/>
      <c r="F49" s="13" t="s">
        <v>91</v>
      </c>
      <c r="G49" s="15"/>
    </row>
    <row r="50" spans="1:7" ht="17.25" thickBot="1" x14ac:dyDescent="0.3">
      <c r="A50" s="107"/>
      <c r="B50" s="16" t="s">
        <v>92</v>
      </c>
      <c r="C50" s="111"/>
      <c r="D50" s="111"/>
      <c r="E50" s="111"/>
      <c r="F50" s="16" t="s">
        <v>744</v>
      </c>
      <c r="G50" s="15"/>
    </row>
    <row r="51" spans="1:7" ht="16.5" x14ac:dyDescent="0.25">
      <c r="A51" s="107"/>
      <c r="B51" s="8" t="s">
        <v>93</v>
      </c>
      <c r="C51" s="109">
        <v>1</v>
      </c>
      <c r="D51" s="109">
        <v>4</v>
      </c>
      <c r="E51" s="109">
        <v>4</v>
      </c>
      <c r="F51" s="13" t="s">
        <v>747</v>
      </c>
      <c r="G51" s="15"/>
    </row>
    <row r="52" spans="1:7" ht="16.5" x14ac:dyDescent="0.25">
      <c r="A52" s="107"/>
      <c r="B52" s="13" t="s">
        <v>745</v>
      </c>
      <c r="C52" s="104"/>
      <c r="D52" s="104"/>
      <c r="E52" s="104"/>
      <c r="F52" s="13" t="s">
        <v>97</v>
      </c>
      <c r="G52" s="15"/>
    </row>
    <row r="53" spans="1:7" ht="17.25" thickBot="1" x14ac:dyDescent="0.3">
      <c r="A53" s="107"/>
      <c r="B53" s="16" t="s">
        <v>746</v>
      </c>
      <c r="C53" s="111"/>
      <c r="D53" s="111"/>
      <c r="E53" s="111"/>
      <c r="F53" s="17"/>
      <c r="G53" s="15"/>
    </row>
    <row r="54" spans="1:7" ht="16.5" x14ac:dyDescent="0.25">
      <c r="A54" s="107"/>
      <c r="B54" s="8" t="s">
        <v>185</v>
      </c>
      <c r="C54" s="109">
        <v>1</v>
      </c>
      <c r="D54" s="109">
        <v>5</v>
      </c>
      <c r="E54" s="109">
        <v>5</v>
      </c>
      <c r="F54" s="19" t="s">
        <v>101</v>
      </c>
      <c r="G54" s="15"/>
    </row>
    <row r="55" spans="1:7" ht="16.5" x14ac:dyDescent="0.25">
      <c r="A55" s="107"/>
      <c r="B55" s="19" t="s">
        <v>103</v>
      </c>
      <c r="C55" s="104"/>
      <c r="D55" s="104"/>
      <c r="E55" s="104"/>
      <c r="F55" s="19" t="s">
        <v>104</v>
      </c>
      <c r="G55" s="15"/>
    </row>
    <row r="56" spans="1:7" ht="16.5" x14ac:dyDescent="0.25">
      <c r="A56" s="107"/>
      <c r="B56" s="19" t="s">
        <v>105</v>
      </c>
      <c r="C56" s="104"/>
      <c r="D56" s="104"/>
      <c r="E56" s="104"/>
      <c r="F56" s="19" t="s">
        <v>106</v>
      </c>
      <c r="G56" s="15"/>
    </row>
    <row r="57" spans="1:7" ht="16.5" x14ac:dyDescent="0.25">
      <c r="A57" s="107"/>
      <c r="B57" s="19" t="s">
        <v>107</v>
      </c>
      <c r="C57" s="104"/>
      <c r="D57" s="104"/>
      <c r="E57" s="104"/>
      <c r="F57" s="19" t="s">
        <v>108</v>
      </c>
      <c r="G57" s="15"/>
    </row>
    <row r="58" spans="1:7" ht="16.5" x14ac:dyDescent="0.25">
      <c r="A58" s="107"/>
      <c r="B58" s="19" t="s">
        <v>109</v>
      </c>
      <c r="C58" s="104"/>
      <c r="D58" s="104"/>
      <c r="E58" s="104"/>
      <c r="F58" s="19" t="s">
        <v>110</v>
      </c>
      <c r="G58" s="15"/>
    </row>
    <row r="59" spans="1:7" ht="16.5" x14ac:dyDescent="0.25">
      <c r="A59" s="107"/>
      <c r="B59" s="19" t="s">
        <v>111</v>
      </c>
      <c r="C59" s="104"/>
      <c r="D59" s="104"/>
      <c r="E59" s="104"/>
      <c r="F59" s="19" t="s">
        <v>112</v>
      </c>
      <c r="G59" s="15"/>
    </row>
    <row r="60" spans="1:7" ht="16.5" x14ac:dyDescent="0.25">
      <c r="A60" s="107"/>
      <c r="B60" s="19" t="s">
        <v>113</v>
      </c>
      <c r="C60" s="104"/>
      <c r="D60" s="104"/>
      <c r="E60" s="104"/>
      <c r="F60" s="19" t="s">
        <v>114</v>
      </c>
      <c r="G60" s="15"/>
    </row>
    <row r="61" spans="1:7" ht="16.5" x14ac:dyDescent="0.25">
      <c r="A61" s="107"/>
      <c r="B61" s="19" t="s">
        <v>115</v>
      </c>
      <c r="C61" s="104"/>
      <c r="D61" s="104"/>
      <c r="E61" s="104"/>
      <c r="F61" s="19" t="s">
        <v>116</v>
      </c>
      <c r="G61" s="15"/>
    </row>
    <row r="62" spans="1:7" ht="16.5" x14ac:dyDescent="0.25">
      <c r="A62" s="107"/>
      <c r="B62" s="19" t="s">
        <v>117</v>
      </c>
      <c r="C62" s="104"/>
      <c r="D62" s="104"/>
      <c r="E62" s="104"/>
      <c r="F62" s="19" t="s">
        <v>118</v>
      </c>
      <c r="G62" s="15"/>
    </row>
    <row r="63" spans="1:7" ht="17.25" thickBot="1" x14ac:dyDescent="0.3">
      <c r="A63" s="108"/>
      <c r="B63" s="52" t="s">
        <v>119</v>
      </c>
      <c r="C63" s="111"/>
      <c r="D63" s="111"/>
      <c r="E63" s="111"/>
      <c r="F63" s="52" t="s">
        <v>120</v>
      </c>
      <c r="G63" s="25"/>
    </row>
    <row r="64" spans="1:7" ht="17.25" thickBot="1" x14ac:dyDescent="0.3">
      <c r="A64" s="123" t="s">
        <v>121</v>
      </c>
      <c r="B64" s="124"/>
      <c r="C64" s="124"/>
      <c r="D64" s="125"/>
      <c r="E64" s="60">
        <f>SUM(E4:E63)</f>
        <v>97</v>
      </c>
      <c r="F64" s="55"/>
      <c r="G64" s="55"/>
    </row>
  </sheetData>
  <mergeCells count="57">
    <mergeCell ref="B1:B3"/>
    <mergeCell ref="A4:A10"/>
    <mergeCell ref="C4:C7"/>
    <mergeCell ref="D4:D7"/>
    <mergeCell ref="E4:E7"/>
    <mergeCell ref="C8:C10"/>
    <mergeCell ref="D8:D10"/>
    <mergeCell ref="E8:E10"/>
    <mergeCell ref="G11:G26"/>
    <mergeCell ref="C16:C17"/>
    <mergeCell ref="D16:D17"/>
    <mergeCell ref="E16:E17"/>
    <mergeCell ref="F16:F17"/>
    <mergeCell ref="C18:C20"/>
    <mergeCell ref="F21:F22"/>
    <mergeCell ref="A11:A33"/>
    <mergeCell ref="C11:C15"/>
    <mergeCell ref="D11:D15"/>
    <mergeCell ref="E11:E15"/>
    <mergeCell ref="D18:D20"/>
    <mergeCell ref="E18:E20"/>
    <mergeCell ref="C21:C22"/>
    <mergeCell ref="D21:D22"/>
    <mergeCell ref="E21:E22"/>
    <mergeCell ref="C23:C26"/>
    <mergeCell ref="D23:D26"/>
    <mergeCell ref="E23:E26"/>
    <mergeCell ref="C27:C30"/>
    <mergeCell ref="D27:D30"/>
    <mergeCell ref="E27:E30"/>
    <mergeCell ref="D48:D50"/>
    <mergeCell ref="E48:E50"/>
    <mergeCell ref="G27:G30"/>
    <mergeCell ref="C31:C33"/>
    <mergeCell ref="D31:D33"/>
    <mergeCell ref="E31:E33"/>
    <mergeCell ref="G31:G33"/>
    <mergeCell ref="C34:C38"/>
    <mergeCell ref="D34:D38"/>
    <mergeCell ref="E34:E38"/>
    <mergeCell ref="G34:G42"/>
    <mergeCell ref="A64:D64"/>
    <mergeCell ref="A34:A42"/>
    <mergeCell ref="C51:C53"/>
    <mergeCell ref="D51:D53"/>
    <mergeCell ref="E51:E53"/>
    <mergeCell ref="C54:C63"/>
    <mergeCell ref="D54:D63"/>
    <mergeCell ref="E54:E63"/>
    <mergeCell ref="C39:C42"/>
    <mergeCell ref="D39:D42"/>
    <mergeCell ref="E39:E42"/>
    <mergeCell ref="A44:A63"/>
    <mergeCell ref="C44:C47"/>
    <mergeCell ref="D44:D47"/>
    <mergeCell ref="E44:E47"/>
    <mergeCell ref="C48:C50"/>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A733E6-FDE4-46B7-8729-970AD96613D8}">
  <dimension ref="A1:G65"/>
  <sheetViews>
    <sheetView topLeftCell="A11" workbookViewId="0">
      <selection activeCell="E28" sqref="E28:E37"/>
    </sheetView>
  </sheetViews>
  <sheetFormatPr defaultRowHeight="15" x14ac:dyDescent="0.25"/>
  <cols>
    <col min="1" max="1" width="6.85546875" bestFit="1" customWidth="1"/>
    <col min="2" max="2" width="99.140625" bestFit="1" customWidth="1"/>
    <col min="3" max="3" width="11.140625" bestFit="1" customWidth="1"/>
    <col min="4" max="4" width="9" bestFit="1" customWidth="1"/>
    <col min="5" max="5" width="7.5703125" bestFit="1" customWidth="1"/>
    <col min="6" max="6" width="218.140625" bestFit="1" customWidth="1"/>
    <col min="7" max="7" width="99.85546875" bestFit="1" customWidth="1"/>
  </cols>
  <sheetData>
    <row r="1" spans="1:7" ht="16.5" x14ac:dyDescent="0.25">
      <c r="A1" s="43" t="s">
        <v>0</v>
      </c>
      <c r="B1" s="120" t="s">
        <v>1</v>
      </c>
      <c r="C1" s="44" t="s">
        <v>2</v>
      </c>
      <c r="D1" s="44" t="s">
        <v>3</v>
      </c>
      <c r="E1" s="44" t="s">
        <v>0</v>
      </c>
      <c r="F1" s="44" t="s">
        <v>4</v>
      </c>
      <c r="G1" s="44" t="s">
        <v>5</v>
      </c>
    </row>
    <row r="2" spans="1:7" ht="16.5" x14ac:dyDescent="0.25">
      <c r="A2" s="45" t="s">
        <v>6</v>
      </c>
      <c r="B2" s="121"/>
      <c r="C2" s="46" t="s">
        <v>7</v>
      </c>
      <c r="D2" s="46" t="s">
        <v>8</v>
      </c>
      <c r="E2" s="46" t="s">
        <v>9</v>
      </c>
      <c r="F2" s="46" t="s">
        <v>10</v>
      </c>
      <c r="G2" s="46" t="s">
        <v>11</v>
      </c>
    </row>
    <row r="3" spans="1:7" ht="17.25" thickBot="1" x14ac:dyDescent="0.3">
      <c r="A3" s="39"/>
      <c r="B3" s="122"/>
      <c r="C3" s="47" t="s">
        <v>12</v>
      </c>
      <c r="D3" s="47" t="s">
        <v>12</v>
      </c>
      <c r="E3" s="47" t="s">
        <v>13</v>
      </c>
      <c r="F3" s="41"/>
      <c r="G3" s="41"/>
    </row>
    <row r="4" spans="1:7" ht="16.5" x14ac:dyDescent="0.25">
      <c r="A4" s="106" t="s">
        <v>14</v>
      </c>
      <c r="B4" s="30" t="s">
        <v>749</v>
      </c>
      <c r="C4" s="103">
        <v>2</v>
      </c>
      <c r="D4" s="103">
        <v>5</v>
      </c>
      <c r="E4" s="103">
        <v>10</v>
      </c>
      <c r="F4" s="19" t="s">
        <v>754</v>
      </c>
      <c r="G4" s="106" t="s">
        <v>17</v>
      </c>
    </row>
    <row r="5" spans="1:7" ht="16.5" x14ac:dyDescent="0.25">
      <c r="A5" s="107"/>
      <c r="B5" s="30" t="s">
        <v>750</v>
      </c>
      <c r="C5" s="104"/>
      <c r="D5" s="104"/>
      <c r="E5" s="104"/>
      <c r="F5" s="19" t="s">
        <v>755</v>
      </c>
      <c r="G5" s="107"/>
    </row>
    <row r="6" spans="1:7" ht="16.5" x14ac:dyDescent="0.25">
      <c r="A6" s="107"/>
      <c r="B6" s="19" t="s">
        <v>751</v>
      </c>
      <c r="C6" s="104"/>
      <c r="D6" s="104"/>
      <c r="E6" s="104"/>
      <c r="F6" s="19" t="s">
        <v>756</v>
      </c>
      <c r="G6" s="107"/>
    </row>
    <row r="7" spans="1:7" ht="16.5" x14ac:dyDescent="0.25">
      <c r="A7" s="107"/>
      <c r="B7" s="19" t="s">
        <v>752</v>
      </c>
      <c r="C7" s="104"/>
      <c r="D7" s="104"/>
      <c r="E7" s="104"/>
      <c r="F7" s="19" t="s">
        <v>757</v>
      </c>
      <c r="G7" s="107"/>
    </row>
    <row r="8" spans="1:7" ht="16.5" x14ac:dyDescent="0.25">
      <c r="A8" s="107"/>
      <c r="B8" s="19" t="s">
        <v>753</v>
      </c>
      <c r="C8" s="104"/>
      <c r="D8" s="104"/>
      <c r="E8" s="104"/>
      <c r="F8" s="19" t="s">
        <v>758</v>
      </c>
      <c r="G8" s="107"/>
    </row>
    <row r="9" spans="1:7" ht="17.25" thickBot="1" x14ac:dyDescent="0.3">
      <c r="A9" s="107"/>
      <c r="B9" s="57"/>
      <c r="C9" s="105"/>
      <c r="D9" s="105"/>
      <c r="E9" s="105"/>
      <c r="F9" s="31" t="s">
        <v>759</v>
      </c>
      <c r="G9" s="108"/>
    </row>
    <row r="10" spans="1:7" ht="16.5" x14ac:dyDescent="0.25">
      <c r="A10" s="107"/>
      <c r="B10" s="30" t="s">
        <v>760</v>
      </c>
      <c r="C10" s="103">
        <v>2</v>
      </c>
      <c r="D10" s="103">
        <v>4</v>
      </c>
      <c r="E10" s="103">
        <v>8</v>
      </c>
      <c r="F10" s="19" t="s">
        <v>766</v>
      </c>
      <c r="G10" s="106" t="s">
        <v>771</v>
      </c>
    </row>
    <row r="11" spans="1:7" ht="16.5" x14ac:dyDescent="0.25">
      <c r="A11" s="107"/>
      <c r="B11" s="19" t="s">
        <v>761</v>
      </c>
      <c r="C11" s="104"/>
      <c r="D11" s="104"/>
      <c r="E11" s="104"/>
      <c r="F11" s="19" t="s">
        <v>767</v>
      </c>
      <c r="G11" s="107"/>
    </row>
    <row r="12" spans="1:7" ht="16.5" x14ac:dyDescent="0.25">
      <c r="A12" s="107"/>
      <c r="B12" s="19" t="s">
        <v>762</v>
      </c>
      <c r="C12" s="104"/>
      <c r="D12" s="104"/>
      <c r="E12" s="104"/>
      <c r="F12" s="19" t="s">
        <v>768</v>
      </c>
      <c r="G12" s="107"/>
    </row>
    <row r="13" spans="1:7" ht="16.5" x14ac:dyDescent="0.25">
      <c r="A13" s="107"/>
      <c r="B13" s="19" t="s">
        <v>763</v>
      </c>
      <c r="C13" s="104"/>
      <c r="D13" s="104"/>
      <c r="E13" s="104"/>
      <c r="F13" s="19" t="s">
        <v>769</v>
      </c>
      <c r="G13" s="107"/>
    </row>
    <row r="14" spans="1:7" ht="16.5" x14ac:dyDescent="0.25">
      <c r="A14" s="107"/>
      <c r="B14" s="19" t="s">
        <v>764</v>
      </c>
      <c r="C14" s="104"/>
      <c r="D14" s="104"/>
      <c r="E14" s="104"/>
      <c r="F14" s="19" t="s">
        <v>770</v>
      </c>
      <c r="G14" s="107"/>
    </row>
    <row r="15" spans="1:7" ht="17.25" thickBot="1" x14ac:dyDescent="0.3">
      <c r="A15" s="108"/>
      <c r="B15" s="31" t="s">
        <v>765</v>
      </c>
      <c r="C15" s="105"/>
      <c r="D15" s="105"/>
      <c r="E15" s="105"/>
      <c r="F15" s="25"/>
      <c r="G15" s="108"/>
    </row>
    <row r="16" spans="1:7" ht="16.5" x14ac:dyDescent="0.25">
      <c r="A16" s="106" t="s">
        <v>34</v>
      </c>
      <c r="B16" s="8" t="s">
        <v>772</v>
      </c>
      <c r="C16" s="103">
        <v>2</v>
      </c>
      <c r="D16" s="103">
        <v>5</v>
      </c>
      <c r="E16" s="103">
        <v>10</v>
      </c>
      <c r="F16" s="19" t="s">
        <v>777</v>
      </c>
      <c r="G16" s="106" t="s">
        <v>47</v>
      </c>
    </row>
    <row r="17" spans="1:7" ht="16.5" x14ac:dyDescent="0.25">
      <c r="A17" s="107"/>
      <c r="B17" s="19" t="s">
        <v>773</v>
      </c>
      <c r="C17" s="104"/>
      <c r="D17" s="104"/>
      <c r="E17" s="104"/>
      <c r="F17" s="19" t="s">
        <v>778</v>
      </c>
      <c r="G17" s="107"/>
    </row>
    <row r="18" spans="1:7" ht="16.5" x14ac:dyDescent="0.25">
      <c r="A18" s="107"/>
      <c r="B18" s="19" t="s">
        <v>774</v>
      </c>
      <c r="C18" s="104"/>
      <c r="D18" s="104"/>
      <c r="E18" s="104"/>
      <c r="F18" s="19" t="s">
        <v>779</v>
      </c>
      <c r="G18" s="107"/>
    </row>
    <row r="19" spans="1:7" ht="16.5" x14ac:dyDescent="0.25">
      <c r="A19" s="107"/>
      <c r="B19" s="19" t="s">
        <v>775</v>
      </c>
      <c r="C19" s="104"/>
      <c r="D19" s="104"/>
      <c r="E19" s="104"/>
      <c r="F19" s="19"/>
      <c r="G19" s="107"/>
    </row>
    <row r="20" spans="1:7" ht="17.25" thickBot="1" x14ac:dyDescent="0.3">
      <c r="A20" s="108"/>
      <c r="B20" s="31" t="s">
        <v>776</v>
      </c>
      <c r="C20" s="105"/>
      <c r="D20" s="105"/>
      <c r="E20" s="105"/>
      <c r="F20" s="25"/>
      <c r="G20" s="108"/>
    </row>
    <row r="21" spans="1:7" ht="16.5" x14ac:dyDescent="0.25">
      <c r="A21" s="106" t="s">
        <v>81</v>
      </c>
      <c r="B21" s="8" t="s">
        <v>780</v>
      </c>
      <c r="C21" s="103">
        <v>4</v>
      </c>
      <c r="D21" s="103">
        <v>5</v>
      </c>
      <c r="E21" s="103">
        <v>20</v>
      </c>
      <c r="F21" s="19" t="s">
        <v>785</v>
      </c>
      <c r="G21" s="106" t="s">
        <v>790</v>
      </c>
    </row>
    <row r="22" spans="1:7" ht="16.5" x14ac:dyDescent="0.25">
      <c r="A22" s="107"/>
      <c r="B22" s="8"/>
      <c r="C22" s="104"/>
      <c r="D22" s="104"/>
      <c r="E22" s="104"/>
      <c r="F22" s="19" t="s">
        <v>786</v>
      </c>
      <c r="G22" s="107"/>
    </row>
    <row r="23" spans="1:7" ht="16.5" x14ac:dyDescent="0.25">
      <c r="A23" s="107"/>
      <c r="B23" s="19" t="s">
        <v>781</v>
      </c>
      <c r="C23" s="104"/>
      <c r="D23" s="104"/>
      <c r="E23" s="104"/>
      <c r="F23" s="19" t="s">
        <v>787</v>
      </c>
      <c r="G23" s="107"/>
    </row>
    <row r="24" spans="1:7" ht="16.5" x14ac:dyDescent="0.25">
      <c r="A24" s="107"/>
      <c r="B24" s="19" t="s">
        <v>782</v>
      </c>
      <c r="C24" s="104"/>
      <c r="D24" s="104"/>
      <c r="E24" s="104"/>
      <c r="F24" s="19" t="s">
        <v>788</v>
      </c>
      <c r="G24" s="107"/>
    </row>
    <row r="25" spans="1:7" ht="16.5" x14ac:dyDescent="0.25">
      <c r="A25" s="107"/>
      <c r="B25" s="19" t="s">
        <v>783</v>
      </c>
      <c r="C25" s="104"/>
      <c r="D25" s="104"/>
      <c r="E25" s="104"/>
      <c r="F25" s="19" t="s">
        <v>789</v>
      </c>
      <c r="G25" s="107"/>
    </row>
    <row r="26" spans="1:7" ht="16.5" x14ac:dyDescent="0.25">
      <c r="A26" s="107"/>
      <c r="B26" s="19" t="s">
        <v>784</v>
      </c>
      <c r="C26" s="104"/>
      <c r="D26" s="104"/>
      <c r="E26" s="104"/>
      <c r="F26" s="15"/>
      <c r="G26" s="107"/>
    </row>
    <row r="27" spans="1:7" ht="17.25" thickBot="1" x14ac:dyDescent="0.3">
      <c r="A27" s="108"/>
      <c r="B27" s="83"/>
      <c r="C27" s="105"/>
      <c r="D27" s="105"/>
      <c r="E27" s="105"/>
      <c r="F27" s="25"/>
      <c r="G27" s="108"/>
    </row>
    <row r="28" spans="1:7" ht="16.5" x14ac:dyDescent="0.25">
      <c r="A28" s="106" t="s">
        <v>173</v>
      </c>
      <c r="B28" s="30" t="s">
        <v>791</v>
      </c>
      <c r="C28" s="103">
        <v>2</v>
      </c>
      <c r="D28" s="103">
        <v>5</v>
      </c>
      <c r="E28" s="103">
        <v>10</v>
      </c>
      <c r="F28" s="19" t="s">
        <v>101</v>
      </c>
      <c r="G28" s="113"/>
    </row>
    <row r="29" spans="1:7" ht="16.5" x14ac:dyDescent="0.25">
      <c r="A29" s="107"/>
      <c r="B29" s="19" t="s">
        <v>103</v>
      </c>
      <c r="C29" s="104"/>
      <c r="D29" s="104"/>
      <c r="E29" s="104"/>
      <c r="F29" s="19" t="s">
        <v>104</v>
      </c>
      <c r="G29" s="114"/>
    </row>
    <row r="30" spans="1:7" ht="16.5" x14ac:dyDescent="0.25">
      <c r="A30" s="107"/>
      <c r="B30" s="19" t="s">
        <v>105</v>
      </c>
      <c r="C30" s="104"/>
      <c r="D30" s="104"/>
      <c r="E30" s="104"/>
      <c r="F30" s="19" t="s">
        <v>106</v>
      </c>
      <c r="G30" s="114"/>
    </row>
    <row r="31" spans="1:7" ht="16.5" x14ac:dyDescent="0.25">
      <c r="A31" s="107"/>
      <c r="B31" s="19" t="s">
        <v>107</v>
      </c>
      <c r="C31" s="104"/>
      <c r="D31" s="104"/>
      <c r="E31" s="104"/>
      <c r="F31" s="19" t="s">
        <v>108</v>
      </c>
      <c r="G31" s="114"/>
    </row>
    <row r="32" spans="1:7" ht="16.5" x14ac:dyDescent="0.25">
      <c r="A32" s="107"/>
      <c r="B32" s="19" t="s">
        <v>109</v>
      </c>
      <c r="C32" s="104"/>
      <c r="D32" s="104"/>
      <c r="E32" s="104"/>
      <c r="F32" s="19" t="s">
        <v>110</v>
      </c>
      <c r="G32" s="114"/>
    </row>
    <row r="33" spans="1:7" ht="16.5" x14ac:dyDescent="0.25">
      <c r="A33" s="107"/>
      <c r="B33" s="19" t="s">
        <v>111</v>
      </c>
      <c r="C33" s="104"/>
      <c r="D33" s="104"/>
      <c r="E33" s="104"/>
      <c r="F33" s="19" t="s">
        <v>112</v>
      </c>
      <c r="G33" s="114"/>
    </row>
    <row r="34" spans="1:7" ht="16.5" x14ac:dyDescent="0.25">
      <c r="A34" s="107"/>
      <c r="B34" s="19" t="s">
        <v>113</v>
      </c>
      <c r="C34" s="104"/>
      <c r="D34" s="104"/>
      <c r="E34" s="104"/>
      <c r="F34" s="19" t="s">
        <v>114</v>
      </c>
      <c r="G34" s="114"/>
    </row>
    <row r="35" spans="1:7" ht="16.5" x14ac:dyDescent="0.25">
      <c r="A35" s="107"/>
      <c r="B35" s="19" t="s">
        <v>115</v>
      </c>
      <c r="C35" s="104"/>
      <c r="D35" s="104"/>
      <c r="E35" s="104"/>
      <c r="F35" s="19" t="s">
        <v>116</v>
      </c>
      <c r="G35" s="114"/>
    </row>
    <row r="36" spans="1:7" ht="16.5" x14ac:dyDescent="0.25">
      <c r="A36" s="107"/>
      <c r="B36" s="19" t="s">
        <v>117</v>
      </c>
      <c r="C36" s="104"/>
      <c r="D36" s="104"/>
      <c r="E36" s="104"/>
      <c r="F36" s="19" t="s">
        <v>118</v>
      </c>
      <c r="G36" s="114"/>
    </row>
    <row r="37" spans="1:7" ht="17.25" thickBot="1" x14ac:dyDescent="0.3">
      <c r="A37" s="108"/>
      <c r="B37" s="31" t="s">
        <v>119</v>
      </c>
      <c r="C37" s="105"/>
      <c r="D37" s="105"/>
      <c r="E37" s="105"/>
      <c r="F37" s="31" t="s">
        <v>120</v>
      </c>
      <c r="G37" s="115"/>
    </row>
    <row r="38" spans="1:7" ht="16.5" x14ac:dyDescent="0.25">
      <c r="A38" s="106" t="s">
        <v>184</v>
      </c>
      <c r="B38" s="30" t="s">
        <v>792</v>
      </c>
      <c r="C38" s="103">
        <v>3</v>
      </c>
      <c r="D38" s="103">
        <v>5</v>
      </c>
      <c r="E38" s="103">
        <v>15</v>
      </c>
      <c r="F38" s="84" t="s">
        <v>796</v>
      </c>
      <c r="G38" s="106" t="s">
        <v>790</v>
      </c>
    </row>
    <row r="39" spans="1:7" ht="16.5" x14ac:dyDescent="0.25">
      <c r="A39" s="107"/>
      <c r="B39" s="19" t="s">
        <v>793</v>
      </c>
      <c r="C39" s="104"/>
      <c r="D39" s="104"/>
      <c r="E39" s="104"/>
      <c r="F39" s="19" t="s">
        <v>797</v>
      </c>
      <c r="G39" s="107"/>
    </row>
    <row r="40" spans="1:7" ht="16.5" x14ac:dyDescent="0.25">
      <c r="A40" s="107"/>
      <c r="B40" s="19" t="s">
        <v>794</v>
      </c>
      <c r="C40" s="104"/>
      <c r="D40" s="104"/>
      <c r="E40" s="104"/>
      <c r="F40" s="19" t="s">
        <v>798</v>
      </c>
      <c r="G40" s="107"/>
    </row>
    <row r="41" spans="1:7" ht="16.5" x14ac:dyDescent="0.25">
      <c r="A41" s="107"/>
      <c r="B41" s="19" t="s">
        <v>795</v>
      </c>
      <c r="C41" s="104"/>
      <c r="D41" s="104"/>
      <c r="E41" s="104"/>
      <c r="F41" s="19" t="s">
        <v>799</v>
      </c>
      <c r="G41" s="107"/>
    </row>
    <row r="42" spans="1:7" ht="17.25" thickBot="1" x14ac:dyDescent="0.3">
      <c r="A42" s="108"/>
      <c r="B42" s="31"/>
      <c r="C42" s="105"/>
      <c r="D42" s="105"/>
      <c r="E42" s="105"/>
      <c r="F42" s="31"/>
      <c r="G42" s="108"/>
    </row>
    <row r="43" spans="1:7" ht="16.5" x14ac:dyDescent="0.25">
      <c r="A43" s="106" t="s">
        <v>800</v>
      </c>
      <c r="B43" s="30" t="s">
        <v>801</v>
      </c>
      <c r="C43" s="103">
        <v>2</v>
      </c>
      <c r="D43" s="103">
        <v>4</v>
      </c>
      <c r="E43" s="103">
        <v>8</v>
      </c>
      <c r="F43" s="13" t="s">
        <v>805</v>
      </c>
      <c r="G43" s="106" t="s">
        <v>807</v>
      </c>
    </row>
    <row r="44" spans="1:7" ht="16.5" x14ac:dyDescent="0.25">
      <c r="A44" s="107"/>
      <c r="B44" s="19" t="s">
        <v>802</v>
      </c>
      <c r="C44" s="104"/>
      <c r="D44" s="104"/>
      <c r="E44" s="104"/>
      <c r="F44" s="19" t="s">
        <v>806</v>
      </c>
      <c r="G44" s="107"/>
    </row>
    <row r="45" spans="1:7" ht="16.5" x14ac:dyDescent="0.25">
      <c r="A45" s="107"/>
      <c r="B45" s="19" t="s">
        <v>803</v>
      </c>
      <c r="C45" s="104"/>
      <c r="D45" s="104"/>
      <c r="E45" s="104"/>
      <c r="F45" s="15"/>
      <c r="G45" s="107"/>
    </row>
    <row r="46" spans="1:7" ht="17.25" thickBot="1" x14ac:dyDescent="0.3">
      <c r="A46" s="108"/>
      <c r="B46" s="31" t="s">
        <v>804</v>
      </c>
      <c r="C46" s="105"/>
      <c r="D46" s="105"/>
      <c r="E46" s="105"/>
      <c r="F46" s="25"/>
      <c r="G46" s="108"/>
    </row>
    <row r="47" spans="1:7" ht="16.5" x14ac:dyDescent="0.25">
      <c r="A47" s="106" t="s">
        <v>808</v>
      </c>
      <c r="B47" s="30" t="s">
        <v>809</v>
      </c>
      <c r="C47" s="103">
        <v>2</v>
      </c>
      <c r="D47" s="103">
        <v>5</v>
      </c>
      <c r="E47" s="103">
        <v>10</v>
      </c>
      <c r="F47" s="19" t="s">
        <v>817</v>
      </c>
      <c r="G47" s="106" t="s">
        <v>807</v>
      </c>
    </row>
    <row r="48" spans="1:7" ht="16.5" x14ac:dyDescent="0.25">
      <c r="A48" s="107"/>
      <c r="B48" s="19" t="s">
        <v>810</v>
      </c>
      <c r="C48" s="104"/>
      <c r="D48" s="104"/>
      <c r="E48" s="104"/>
      <c r="F48" s="19" t="s">
        <v>818</v>
      </c>
      <c r="G48" s="107"/>
    </row>
    <row r="49" spans="1:7" ht="16.5" x14ac:dyDescent="0.25">
      <c r="A49" s="107"/>
      <c r="B49" s="19" t="s">
        <v>811</v>
      </c>
      <c r="C49" s="104"/>
      <c r="D49" s="104"/>
      <c r="E49" s="104"/>
      <c r="F49" s="19" t="s">
        <v>819</v>
      </c>
      <c r="G49" s="107"/>
    </row>
    <row r="50" spans="1:7" ht="16.5" x14ac:dyDescent="0.25">
      <c r="A50" s="107"/>
      <c r="B50" s="19" t="s">
        <v>812</v>
      </c>
      <c r="C50" s="104"/>
      <c r="D50" s="104"/>
      <c r="E50" s="104"/>
      <c r="F50" s="15"/>
      <c r="G50" s="107"/>
    </row>
    <row r="51" spans="1:7" ht="16.5" x14ac:dyDescent="0.25">
      <c r="A51" s="107"/>
      <c r="B51" s="19" t="s">
        <v>813</v>
      </c>
      <c r="C51" s="104"/>
      <c r="D51" s="104"/>
      <c r="E51" s="104"/>
      <c r="F51" s="15"/>
      <c r="G51" s="107"/>
    </row>
    <row r="52" spans="1:7" ht="16.5" x14ac:dyDescent="0.25">
      <c r="A52" s="107"/>
      <c r="B52" s="19" t="s">
        <v>814</v>
      </c>
      <c r="C52" s="104"/>
      <c r="D52" s="104"/>
      <c r="E52" s="104"/>
      <c r="F52" s="15"/>
      <c r="G52" s="107"/>
    </row>
    <row r="53" spans="1:7" ht="16.5" x14ac:dyDescent="0.25">
      <c r="A53" s="107"/>
      <c r="B53" s="19" t="s">
        <v>815</v>
      </c>
      <c r="C53" s="104"/>
      <c r="D53" s="104"/>
      <c r="E53" s="104"/>
      <c r="F53" s="15"/>
      <c r="G53" s="107"/>
    </row>
    <row r="54" spans="1:7" ht="17.25" thickBot="1" x14ac:dyDescent="0.3">
      <c r="A54" s="108"/>
      <c r="B54" s="31" t="s">
        <v>816</v>
      </c>
      <c r="C54" s="105"/>
      <c r="D54" s="105"/>
      <c r="E54" s="105"/>
      <c r="F54" s="25"/>
      <c r="G54" s="108"/>
    </row>
    <row r="55" spans="1:7" ht="16.5" x14ac:dyDescent="0.25">
      <c r="A55" s="106" t="s">
        <v>820</v>
      </c>
      <c r="B55" s="30" t="s">
        <v>821</v>
      </c>
      <c r="C55" s="103">
        <v>1</v>
      </c>
      <c r="D55" s="103">
        <v>5</v>
      </c>
      <c r="E55" s="103">
        <v>5</v>
      </c>
      <c r="F55" s="19" t="s">
        <v>823</v>
      </c>
      <c r="G55" s="106" t="s">
        <v>807</v>
      </c>
    </row>
    <row r="56" spans="1:7" ht="16.5" x14ac:dyDescent="0.25">
      <c r="A56" s="107"/>
      <c r="B56" s="19" t="s">
        <v>822</v>
      </c>
      <c r="C56" s="104"/>
      <c r="D56" s="104"/>
      <c r="E56" s="104"/>
      <c r="F56" s="19" t="s">
        <v>824</v>
      </c>
      <c r="G56" s="107"/>
    </row>
    <row r="57" spans="1:7" ht="16.5" x14ac:dyDescent="0.25">
      <c r="A57" s="107"/>
      <c r="B57" s="14"/>
      <c r="C57" s="104"/>
      <c r="D57" s="104"/>
      <c r="E57" s="104"/>
      <c r="F57" s="19" t="s">
        <v>825</v>
      </c>
      <c r="G57" s="107"/>
    </row>
    <row r="58" spans="1:7" ht="16.5" x14ac:dyDescent="0.25">
      <c r="A58" s="107"/>
      <c r="B58" s="15"/>
      <c r="C58" s="104"/>
      <c r="D58" s="104"/>
      <c r="E58" s="104"/>
      <c r="F58" s="19" t="s">
        <v>826</v>
      </c>
      <c r="G58" s="107"/>
    </row>
    <row r="59" spans="1:7" ht="16.5" x14ac:dyDescent="0.25">
      <c r="A59" s="107"/>
      <c r="B59" s="15"/>
      <c r="C59" s="104"/>
      <c r="D59" s="104"/>
      <c r="E59" s="104"/>
      <c r="F59" s="19" t="s">
        <v>827</v>
      </c>
      <c r="G59" s="107"/>
    </row>
    <row r="60" spans="1:7" ht="16.5" x14ac:dyDescent="0.25">
      <c r="A60" s="107"/>
      <c r="B60" s="15"/>
      <c r="C60" s="104"/>
      <c r="D60" s="104"/>
      <c r="E60" s="104"/>
      <c r="F60" s="19" t="s">
        <v>828</v>
      </c>
      <c r="G60" s="107"/>
    </row>
    <row r="61" spans="1:7" ht="16.5" x14ac:dyDescent="0.25">
      <c r="A61" s="107"/>
      <c r="B61" s="15"/>
      <c r="C61" s="104"/>
      <c r="D61" s="104"/>
      <c r="E61" s="104"/>
      <c r="F61" s="19" t="s">
        <v>829</v>
      </c>
      <c r="G61" s="107"/>
    </row>
    <row r="62" spans="1:7" ht="16.5" x14ac:dyDescent="0.25">
      <c r="A62" s="107"/>
      <c r="B62" s="15"/>
      <c r="C62" s="104"/>
      <c r="D62" s="104"/>
      <c r="E62" s="104"/>
      <c r="F62" s="19" t="s">
        <v>830</v>
      </c>
      <c r="G62" s="107"/>
    </row>
    <row r="63" spans="1:7" ht="16.5" x14ac:dyDescent="0.25">
      <c r="A63" s="107"/>
      <c r="B63" s="15"/>
      <c r="C63" s="104"/>
      <c r="D63" s="104"/>
      <c r="E63" s="104"/>
      <c r="F63" s="19" t="s">
        <v>831</v>
      </c>
      <c r="G63" s="107"/>
    </row>
    <row r="64" spans="1:7" ht="17.25" thickBot="1" x14ac:dyDescent="0.3">
      <c r="A64" s="108"/>
      <c r="B64" s="25"/>
      <c r="C64" s="105"/>
      <c r="D64" s="105"/>
      <c r="E64" s="105"/>
      <c r="F64" s="31" t="s">
        <v>832</v>
      </c>
      <c r="G64" s="108"/>
    </row>
    <row r="65" spans="1:7" ht="17.25" thickBot="1" x14ac:dyDescent="0.3">
      <c r="A65" s="18"/>
      <c r="B65" s="130" t="s">
        <v>121</v>
      </c>
      <c r="C65" s="131"/>
      <c r="D65" s="132"/>
      <c r="E65" s="32">
        <v>86</v>
      </c>
      <c r="F65" s="33"/>
      <c r="G65" s="34"/>
    </row>
  </sheetData>
  <mergeCells count="46">
    <mergeCell ref="G4:G9"/>
    <mergeCell ref="C10:C15"/>
    <mergeCell ref="D10:D15"/>
    <mergeCell ref="E10:E15"/>
    <mergeCell ref="G10:G15"/>
    <mergeCell ref="B1:B3"/>
    <mergeCell ref="A4:A15"/>
    <mergeCell ref="C4:C9"/>
    <mergeCell ref="D4:D9"/>
    <mergeCell ref="E4:E9"/>
    <mergeCell ref="A21:A27"/>
    <mergeCell ref="C21:C27"/>
    <mergeCell ref="D21:D27"/>
    <mergeCell ref="E21:E27"/>
    <mergeCell ref="G21:G27"/>
    <mergeCell ref="A16:A20"/>
    <mergeCell ref="C16:C20"/>
    <mergeCell ref="D16:D20"/>
    <mergeCell ref="E16:E20"/>
    <mergeCell ref="G16:G20"/>
    <mergeCell ref="A38:A42"/>
    <mergeCell ref="C38:C42"/>
    <mergeCell ref="D38:D42"/>
    <mergeCell ref="E38:E42"/>
    <mergeCell ref="G38:G42"/>
    <mergeCell ref="A28:A37"/>
    <mergeCell ref="C28:C37"/>
    <mergeCell ref="D28:D37"/>
    <mergeCell ref="E28:E37"/>
    <mergeCell ref="G28:G37"/>
    <mergeCell ref="G43:G46"/>
    <mergeCell ref="A47:A54"/>
    <mergeCell ref="C47:C54"/>
    <mergeCell ref="D47:D54"/>
    <mergeCell ref="E47:E54"/>
    <mergeCell ref="G47:G54"/>
    <mergeCell ref="B65:D65"/>
    <mergeCell ref="A43:A46"/>
    <mergeCell ref="C43:C46"/>
    <mergeCell ref="D43:D46"/>
    <mergeCell ref="E43:E46"/>
    <mergeCell ref="A55:A64"/>
    <mergeCell ref="C55:C64"/>
    <mergeCell ref="D55:D64"/>
    <mergeCell ref="E55:E64"/>
    <mergeCell ref="G55:G6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E1D0FD-43D2-4B97-81D6-F95AE5936A45}">
  <dimension ref="A1:G67"/>
  <sheetViews>
    <sheetView topLeftCell="A32" zoomScale="70" zoomScaleNormal="70" workbookViewId="0">
      <selection activeCell="E56" sqref="E46:E66"/>
    </sheetView>
  </sheetViews>
  <sheetFormatPr defaultRowHeight="15" x14ac:dyDescent="0.25"/>
  <cols>
    <col min="1" max="1" width="6.85546875" bestFit="1" customWidth="1"/>
    <col min="2" max="2" width="151.5703125" bestFit="1" customWidth="1"/>
    <col min="3" max="3" width="11.140625" bestFit="1" customWidth="1"/>
    <col min="4" max="4" width="9" bestFit="1" customWidth="1"/>
    <col min="5" max="5" width="7.5703125" bestFit="1" customWidth="1"/>
    <col min="6" max="6" width="210.85546875" bestFit="1" customWidth="1"/>
    <col min="7" max="7" width="111.7109375" bestFit="1" customWidth="1"/>
  </cols>
  <sheetData>
    <row r="1" spans="1:7" ht="16.5" x14ac:dyDescent="0.25">
      <c r="A1" s="43" t="s">
        <v>0</v>
      </c>
      <c r="B1" s="120" t="s">
        <v>1</v>
      </c>
      <c r="C1" s="44" t="s">
        <v>2</v>
      </c>
      <c r="D1" s="44" t="s">
        <v>3</v>
      </c>
      <c r="E1" s="44" t="s">
        <v>0</v>
      </c>
      <c r="F1" s="44" t="s">
        <v>4</v>
      </c>
      <c r="G1" s="44" t="s">
        <v>5</v>
      </c>
    </row>
    <row r="2" spans="1:7" ht="16.5" x14ac:dyDescent="0.25">
      <c r="A2" s="45" t="s">
        <v>6</v>
      </c>
      <c r="B2" s="121"/>
      <c r="C2" s="46" t="s">
        <v>7</v>
      </c>
      <c r="D2" s="46" t="s">
        <v>8</v>
      </c>
      <c r="E2" s="46" t="s">
        <v>9</v>
      </c>
      <c r="F2" s="46" t="s">
        <v>10</v>
      </c>
      <c r="G2" s="46" t="s">
        <v>11</v>
      </c>
    </row>
    <row r="3" spans="1:7" ht="17.25" thickBot="1" x14ac:dyDescent="0.3">
      <c r="A3" s="39"/>
      <c r="B3" s="122"/>
      <c r="C3" s="47" t="s">
        <v>12</v>
      </c>
      <c r="D3" s="47" t="s">
        <v>12</v>
      </c>
      <c r="E3" s="47" t="s">
        <v>13</v>
      </c>
      <c r="F3" s="41"/>
      <c r="G3" s="41"/>
    </row>
    <row r="4" spans="1:7" ht="21" x14ac:dyDescent="0.25">
      <c r="A4" s="106" t="s">
        <v>14</v>
      </c>
      <c r="B4" s="8" t="s">
        <v>443</v>
      </c>
      <c r="C4" s="103">
        <v>1</v>
      </c>
      <c r="D4" s="103">
        <v>4</v>
      </c>
      <c r="E4" s="103">
        <v>4</v>
      </c>
      <c r="F4" s="9" t="s">
        <v>447</v>
      </c>
      <c r="G4" s="23" t="s">
        <v>17</v>
      </c>
    </row>
    <row r="5" spans="1:7" ht="21" x14ac:dyDescent="0.25">
      <c r="A5" s="107"/>
      <c r="B5" s="8" t="s">
        <v>444</v>
      </c>
      <c r="C5" s="104"/>
      <c r="D5" s="104"/>
      <c r="E5" s="104"/>
      <c r="F5" s="9" t="s">
        <v>448</v>
      </c>
      <c r="G5" s="23" t="s">
        <v>47</v>
      </c>
    </row>
    <row r="6" spans="1:7" ht="16.5" x14ac:dyDescent="0.25">
      <c r="A6" s="107"/>
      <c r="B6" s="13" t="s">
        <v>445</v>
      </c>
      <c r="C6" s="104"/>
      <c r="D6" s="104"/>
      <c r="E6" s="104"/>
      <c r="F6" s="19"/>
      <c r="G6" s="15"/>
    </row>
    <row r="7" spans="1:7" ht="17.25" thickBot="1" x14ac:dyDescent="0.3">
      <c r="A7" s="107"/>
      <c r="B7" s="16" t="s">
        <v>446</v>
      </c>
      <c r="C7" s="111"/>
      <c r="D7" s="111"/>
      <c r="E7" s="111"/>
      <c r="F7" s="17"/>
      <c r="G7" s="25"/>
    </row>
    <row r="8" spans="1:7" ht="16.5" x14ac:dyDescent="0.25">
      <c r="A8" s="107"/>
      <c r="B8" s="8" t="s">
        <v>23</v>
      </c>
      <c r="C8" s="109">
        <v>1</v>
      </c>
      <c r="D8" s="109">
        <v>4</v>
      </c>
      <c r="E8" s="109">
        <v>4</v>
      </c>
      <c r="F8" s="19" t="s">
        <v>451</v>
      </c>
      <c r="G8" s="106" t="s">
        <v>47</v>
      </c>
    </row>
    <row r="9" spans="1:7" ht="16.5" x14ac:dyDescent="0.25">
      <c r="A9" s="107"/>
      <c r="B9" s="13" t="s">
        <v>449</v>
      </c>
      <c r="C9" s="104"/>
      <c r="D9" s="104"/>
      <c r="E9" s="104"/>
      <c r="F9" s="19" t="s">
        <v>452</v>
      </c>
      <c r="G9" s="107"/>
    </row>
    <row r="10" spans="1:7" ht="17.25" thickBot="1" x14ac:dyDescent="0.3">
      <c r="A10" s="107"/>
      <c r="B10" s="16" t="s">
        <v>450</v>
      </c>
      <c r="C10" s="111"/>
      <c r="D10" s="111"/>
      <c r="E10" s="111"/>
      <c r="F10" s="52" t="s">
        <v>453</v>
      </c>
      <c r="G10" s="108"/>
    </row>
    <row r="11" spans="1:7" ht="16.5" x14ac:dyDescent="0.25">
      <c r="A11" s="107"/>
      <c r="B11" s="8" t="s">
        <v>30</v>
      </c>
      <c r="C11" s="109">
        <v>1</v>
      </c>
      <c r="D11" s="109">
        <v>3</v>
      </c>
      <c r="E11" s="109">
        <v>3</v>
      </c>
      <c r="F11" s="19" t="s">
        <v>454</v>
      </c>
      <c r="G11" s="106" t="s">
        <v>47</v>
      </c>
    </row>
    <row r="12" spans="1:7" ht="16.5" x14ac:dyDescent="0.25">
      <c r="A12" s="107"/>
      <c r="B12" s="19" t="s">
        <v>32</v>
      </c>
      <c r="C12" s="104"/>
      <c r="D12" s="104"/>
      <c r="E12" s="104"/>
      <c r="F12" s="19" t="s">
        <v>455</v>
      </c>
      <c r="G12" s="107"/>
    </row>
    <row r="13" spans="1:7" ht="16.5" x14ac:dyDescent="0.25">
      <c r="A13" s="107"/>
      <c r="B13" s="19" t="s">
        <v>365</v>
      </c>
      <c r="C13" s="104"/>
      <c r="D13" s="104"/>
      <c r="E13" s="104"/>
      <c r="F13" s="19" t="s">
        <v>456</v>
      </c>
      <c r="G13" s="107"/>
    </row>
    <row r="14" spans="1:7" ht="16.5" x14ac:dyDescent="0.25">
      <c r="A14" s="107"/>
      <c r="B14" s="19" t="s">
        <v>366</v>
      </c>
      <c r="C14" s="104"/>
      <c r="D14" s="104"/>
      <c r="E14" s="104"/>
      <c r="F14" s="15"/>
      <c r="G14" s="107"/>
    </row>
    <row r="15" spans="1:7" ht="15.75" thickBot="1" x14ac:dyDescent="0.3">
      <c r="A15" s="108"/>
      <c r="B15" s="17"/>
      <c r="C15" s="111"/>
      <c r="D15" s="111"/>
      <c r="E15" s="111"/>
      <c r="F15" s="17"/>
      <c r="G15" s="108"/>
    </row>
    <row r="16" spans="1:7" ht="16.5" x14ac:dyDescent="0.25">
      <c r="A16" s="106" t="s">
        <v>34</v>
      </c>
      <c r="B16" s="8" t="s">
        <v>35</v>
      </c>
      <c r="C16" s="109">
        <v>1</v>
      </c>
      <c r="D16" s="109">
        <v>4</v>
      </c>
      <c r="E16" s="109">
        <v>4</v>
      </c>
      <c r="F16" s="19" t="s">
        <v>130</v>
      </c>
      <c r="G16" s="106" t="s">
        <v>17</v>
      </c>
    </row>
    <row r="17" spans="1:7" ht="16.5" x14ac:dyDescent="0.25">
      <c r="A17" s="107"/>
      <c r="B17" s="8" t="s">
        <v>37</v>
      </c>
      <c r="C17" s="104"/>
      <c r="D17" s="104"/>
      <c r="E17" s="104"/>
      <c r="F17" s="19" t="s">
        <v>131</v>
      </c>
      <c r="G17" s="107"/>
    </row>
    <row r="18" spans="1:7" ht="17.25" thickBot="1" x14ac:dyDescent="0.3">
      <c r="A18" s="107"/>
      <c r="B18" s="21" t="s">
        <v>39</v>
      </c>
      <c r="C18" s="111"/>
      <c r="D18" s="111"/>
      <c r="E18" s="111"/>
      <c r="F18" s="17"/>
      <c r="G18" s="112"/>
    </row>
    <row r="19" spans="1:7" ht="81.75" customHeight="1" x14ac:dyDescent="0.25">
      <c r="A19" s="107"/>
      <c r="B19" s="8" t="s">
        <v>40</v>
      </c>
      <c r="C19" s="109">
        <v>1</v>
      </c>
      <c r="D19" s="109">
        <v>4</v>
      </c>
      <c r="E19" s="109">
        <v>4</v>
      </c>
      <c r="F19" s="128" t="s">
        <v>414</v>
      </c>
      <c r="G19" s="110" t="s">
        <v>17</v>
      </c>
    </row>
    <row r="20" spans="1:7" ht="17.25" thickBot="1" x14ac:dyDescent="0.3">
      <c r="A20" s="107"/>
      <c r="B20" s="21" t="s">
        <v>42</v>
      </c>
      <c r="C20" s="111"/>
      <c r="D20" s="111"/>
      <c r="E20" s="111"/>
      <c r="F20" s="129"/>
      <c r="G20" s="112"/>
    </row>
    <row r="21" spans="1:7" ht="16.5" x14ac:dyDescent="0.25">
      <c r="A21" s="107"/>
      <c r="B21" s="8" t="s">
        <v>133</v>
      </c>
      <c r="C21" s="109">
        <v>1</v>
      </c>
      <c r="D21" s="109">
        <v>4</v>
      </c>
      <c r="E21" s="109">
        <v>4</v>
      </c>
      <c r="F21" s="13" t="s">
        <v>458</v>
      </c>
      <c r="G21" s="110" t="s">
        <v>17</v>
      </c>
    </row>
    <row r="22" spans="1:7" ht="17.25" thickBot="1" x14ac:dyDescent="0.3">
      <c r="A22" s="107"/>
      <c r="B22" s="21" t="s">
        <v>457</v>
      </c>
      <c r="C22" s="111"/>
      <c r="D22" s="111"/>
      <c r="E22" s="111"/>
      <c r="F22" s="52" t="s">
        <v>459</v>
      </c>
      <c r="G22" s="112"/>
    </row>
    <row r="23" spans="1:7" ht="16.5" x14ac:dyDescent="0.25">
      <c r="A23" s="107"/>
      <c r="B23" s="8" t="s">
        <v>137</v>
      </c>
      <c r="C23" s="109">
        <v>2</v>
      </c>
      <c r="D23" s="109">
        <v>4</v>
      </c>
      <c r="E23" s="109">
        <v>8</v>
      </c>
      <c r="F23" s="13" t="s">
        <v>54</v>
      </c>
      <c r="G23" s="110" t="s">
        <v>47</v>
      </c>
    </row>
    <row r="24" spans="1:7" ht="16.5" x14ac:dyDescent="0.25">
      <c r="A24" s="107"/>
      <c r="B24" s="13" t="s">
        <v>55</v>
      </c>
      <c r="C24" s="104"/>
      <c r="D24" s="104"/>
      <c r="E24" s="104"/>
      <c r="F24" s="13" t="s">
        <v>56</v>
      </c>
      <c r="G24" s="107"/>
    </row>
    <row r="25" spans="1:7" ht="16.5" x14ac:dyDescent="0.25">
      <c r="A25" s="107"/>
      <c r="B25" s="13" t="s">
        <v>57</v>
      </c>
      <c r="C25" s="104"/>
      <c r="D25" s="104"/>
      <c r="E25" s="104"/>
      <c r="F25" s="13" t="s">
        <v>139</v>
      </c>
      <c r="G25" s="107"/>
    </row>
    <row r="26" spans="1:7" ht="17.25" thickBot="1" x14ac:dyDescent="0.3">
      <c r="A26" s="107"/>
      <c r="B26" s="16" t="s">
        <v>460</v>
      </c>
      <c r="C26" s="111"/>
      <c r="D26" s="111"/>
      <c r="E26" s="111"/>
      <c r="F26" s="17"/>
      <c r="G26" s="112"/>
    </row>
    <row r="27" spans="1:7" ht="16.5" x14ac:dyDescent="0.25">
      <c r="A27" s="107"/>
      <c r="B27" s="8" t="s">
        <v>60</v>
      </c>
      <c r="C27" s="103">
        <v>1</v>
      </c>
      <c r="D27" s="103">
        <v>4</v>
      </c>
      <c r="E27" s="103">
        <v>4</v>
      </c>
      <c r="F27" s="13" t="s">
        <v>148</v>
      </c>
      <c r="G27" s="106" t="s">
        <v>47</v>
      </c>
    </row>
    <row r="28" spans="1:7" ht="16.5" x14ac:dyDescent="0.25">
      <c r="A28" s="107"/>
      <c r="B28" s="13" t="s">
        <v>461</v>
      </c>
      <c r="C28" s="104"/>
      <c r="D28" s="104"/>
      <c r="E28" s="104"/>
      <c r="F28" s="13" t="s">
        <v>463</v>
      </c>
      <c r="G28" s="107"/>
    </row>
    <row r="29" spans="1:7" ht="17.25" thickBot="1" x14ac:dyDescent="0.3">
      <c r="A29" s="108"/>
      <c r="B29" s="28" t="s">
        <v>462</v>
      </c>
      <c r="C29" s="105"/>
      <c r="D29" s="105"/>
      <c r="E29" s="105"/>
      <c r="F29" s="25"/>
      <c r="G29" s="108"/>
    </row>
    <row r="30" spans="1:7" ht="16.5" x14ac:dyDescent="0.25">
      <c r="A30" s="106" t="s">
        <v>81</v>
      </c>
      <c r="B30" s="8" t="s">
        <v>150</v>
      </c>
      <c r="C30" s="103">
        <v>3</v>
      </c>
      <c r="D30" s="103">
        <v>4</v>
      </c>
      <c r="E30" s="103">
        <v>12</v>
      </c>
      <c r="F30" s="13" t="s">
        <v>466</v>
      </c>
      <c r="G30" s="106" t="s">
        <v>468</v>
      </c>
    </row>
    <row r="31" spans="1:7" ht="16.5" x14ac:dyDescent="0.25">
      <c r="A31" s="107"/>
      <c r="B31" s="8" t="s">
        <v>325</v>
      </c>
      <c r="C31" s="104"/>
      <c r="D31" s="104"/>
      <c r="E31" s="104"/>
      <c r="F31" s="13" t="s">
        <v>467</v>
      </c>
      <c r="G31" s="107"/>
    </row>
    <row r="32" spans="1:7" ht="16.5" x14ac:dyDescent="0.25">
      <c r="A32" s="107"/>
      <c r="B32" s="13" t="s">
        <v>464</v>
      </c>
      <c r="C32" s="104"/>
      <c r="D32" s="104"/>
      <c r="E32" s="104"/>
      <c r="F32" s="15"/>
      <c r="G32" s="107"/>
    </row>
    <row r="33" spans="1:7" ht="17.25" thickBot="1" x14ac:dyDescent="0.3">
      <c r="A33" s="107"/>
      <c r="B33" s="16" t="s">
        <v>465</v>
      </c>
      <c r="C33" s="111"/>
      <c r="D33" s="111"/>
      <c r="E33" s="111"/>
      <c r="F33" s="17"/>
      <c r="G33" s="112"/>
    </row>
    <row r="34" spans="1:7" ht="16.5" x14ac:dyDescent="0.25">
      <c r="A34" s="107"/>
      <c r="B34" s="8" t="s">
        <v>157</v>
      </c>
      <c r="C34" s="109">
        <v>1</v>
      </c>
      <c r="D34" s="109">
        <v>3</v>
      </c>
      <c r="E34" s="109">
        <v>3</v>
      </c>
      <c r="F34" s="13" t="s">
        <v>470</v>
      </c>
      <c r="G34" s="110" t="s">
        <v>47</v>
      </c>
    </row>
    <row r="35" spans="1:7" ht="17.25" thickBot="1" x14ac:dyDescent="0.3">
      <c r="A35" s="107"/>
      <c r="B35" s="54" t="s">
        <v>469</v>
      </c>
      <c r="C35" s="111"/>
      <c r="D35" s="111"/>
      <c r="E35" s="111"/>
      <c r="F35" s="16" t="s">
        <v>471</v>
      </c>
      <c r="G35" s="112"/>
    </row>
    <row r="36" spans="1:7" ht="16.5" x14ac:dyDescent="0.25">
      <c r="A36" s="107"/>
      <c r="B36" s="8" t="s">
        <v>161</v>
      </c>
      <c r="C36" s="109">
        <v>1</v>
      </c>
      <c r="D36" s="109">
        <v>4</v>
      </c>
      <c r="E36" s="109">
        <v>4</v>
      </c>
      <c r="F36" s="13" t="s">
        <v>473</v>
      </c>
      <c r="G36" s="110" t="s">
        <v>47</v>
      </c>
    </row>
    <row r="37" spans="1:7" ht="17.25" thickBot="1" x14ac:dyDescent="0.3">
      <c r="A37" s="107"/>
      <c r="B37" s="54" t="s">
        <v>472</v>
      </c>
      <c r="C37" s="111"/>
      <c r="D37" s="111"/>
      <c r="E37" s="111"/>
      <c r="F37" s="16" t="s">
        <v>474</v>
      </c>
      <c r="G37" s="112"/>
    </row>
    <row r="38" spans="1:7" ht="16.5" x14ac:dyDescent="0.25">
      <c r="A38" s="107"/>
      <c r="B38" s="8" t="s">
        <v>475</v>
      </c>
      <c r="C38" s="109">
        <v>1</v>
      </c>
      <c r="D38" s="109">
        <v>4</v>
      </c>
      <c r="E38" s="109">
        <v>4</v>
      </c>
      <c r="F38" s="13" t="s">
        <v>477</v>
      </c>
      <c r="G38" s="110" t="s">
        <v>47</v>
      </c>
    </row>
    <row r="39" spans="1:7" ht="17.25" thickBot="1" x14ac:dyDescent="0.3">
      <c r="A39" s="107"/>
      <c r="B39" s="21" t="s">
        <v>476</v>
      </c>
      <c r="C39" s="111"/>
      <c r="D39" s="111"/>
      <c r="E39" s="111"/>
      <c r="F39" s="16" t="s">
        <v>478</v>
      </c>
      <c r="G39" s="112"/>
    </row>
    <row r="40" spans="1:7" ht="16.5" x14ac:dyDescent="0.25">
      <c r="A40" s="107"/>
      <c r="B40" s="8" t="s">
        <v>479</v>
      </c>
      <c r="C40" s="109">
        <v>2</v>
      </c>
      <c r="D40" s="109">
        <v>5</v>
      </c>
      <c r="E40" s="109">
        <v>10</v>
      </c>
      <c r="F40" s="13" t="s">
        <v>482</v>
      </c>
      <c r="G40" s="110" t="s">
        <v>17</v>
      </c>
    </row>
    <row r="41" spans="1:7" ht="16.5" x14ac:dyDescent="0.25">
      <c r="A41" s="107"/>
      <c r="B41" s="13" t="s">
        <v>480</v>
      </c>
      <c r="C41" s="104"/>
      <c r="D41" s="104"/>
      <c r="E41" s="104"/>
      <c r="F41" s="13" t="s">
        <v>483</v>
      </c>
      <c r="G41" s="107"/>
    </row>
    <row r="42" spans="1:7" ht="17.25" thickBot="1" x14ac:dyDescent="0.3">
      <c r="A42" s="107"/>
      <c r="B42" s="16" t="s">
        <v>481</v>
      </c>
      <c r="C42" s="111"/>
      <c r="D42" s="111"/>
      <c r="E42" s="111"/>
      <c r="F42" s="17"/>
      <c r="G42" s="112"/>
    </row>
    <row r="43" spans="1:7" ht="16.5" x14ac:dyDescent="0.25">
      <c r="A43" s="107"/>
      <c r="B43" s="8" t="s">
        <v>484</v>
      </c>
      <c r="C43" s="109">
        <v>1</v>
      </c>
      <c r="D43" s="109">
        <v>4</v>
      </c>
      <c r="E43" s="109">
        <v>4</v>
      </c>
      <c r="F43" s="19" t="s">
        <v>77</v>
      </c>
      <c r="G43" s="110" t="s">
        <v>47</v>
      </c>
    </row>
    <row r="44" spans="1:7" ht="16.5" x14ac:dyDescent="0.25">
      <c r="A44" s="107"/>
      <c r="B44" s="13" t="s">
        <v>485</v>
      </c>
      <c r="C44" s="104"/>
      <c r="D44" s="104"/>
      <c r="E44" s="104"/>
      <c r="F44" s="19" t="s">
        <v>486</v>
      </c>
      <c r="G44" s="107"/>
    </row>
    <row r="45" spans="1:7" ht="17.25" thickBot="1" x14ac:dyDescent="0.3">
      <c r="A45" s="108"/>
      <c r="B45" s="16" t="s">
        <v>80</v>
      </c>
      <c r="C45" s="111"/>
      <c r="D45" s="111"/>
      <c r="E45" s="111"/>
      <c r="F45" s="17"/>
      <c r="G45" s="112"/>
    </row>
    <row r="46" spans="1:7" ht="16.5" x14ac:dyDescent="0.25">
      <c r="A46" s="106" t="s">
        <v>173</v>
      </c>
      <c r="B46" s="8" t="s">
        <v>174</v>
      </c>
      <c r="C46" s="109">
        <v>1</v>
      </c>
      <c r="D46" s="109">
        <v>4</v>
      </c>
      <c r="E46" s="109">
        <v>4</v>
      </c>
      <c r="F46" s="13" t="s">
        <v>489</v>
      </c>
      <c r="G46" s="110" t="s">
        <v>47</v>
      </c>
    </row>
    <row r="47" spans="1:7" ht="16.5" x14ac:dyDescent="0.25">
      <c r="A47" s="107"/>
      <c r="B47" s="8" t="s">
        <v>84</v>
      </c>
      <c r="C47" s="104"/>
      <c r="D47" s="104"/>
      <c r="E47" s="104"/>
      <c r="F47" s="13" t="s">
        <v>85</v>
      </c>
      <c r="G47" s="107"/>
    </row>
    <row r="48" spans="1:7" ht="16.5" x14ac:dyDescent="0.25">
      <c r="A48" s="107"/>
      <c r="B48" s="13" t="s">
        <v>487</v>
      </c>
      <c r="C48" s="104"/>
      <c r="D48" s="104"/>
      <c r="E48" s="104"/>
      <c r="F48" s="15"/>
      <c r="G48" s="107"/>
    </row>
    <row r="49" spans="1:7" ht="17.25" thickBot="1" x14ac:dyDescent="0.3">
      <c r="A49" s="107"/>
      <c r="B49" s="28" t="s">
        <v>488</v>
      </c>
      <c r="C49" s="105"/>
      <c r="D49" s="105"/>
      <c r="E49" s="105"/>
      <c r="F49" s="25"/>
      <c r="G49" s="108"/>
    </row>
    <row r="50" spans="1:7" ht="16.5" x14ac:dyDescent="0.25">
      <c r="A50" s="107"/>
      <c r="B50" s="8" t="s">
        <v>88</v>
      </c>
      <c r="C50" s="103">
        <v>1</v>
      </c>
      <c r="D50" s="103">
        <v>4</v>
      </c>
      <c r="E50" s="103">
        <v>4</v>
      </c>
      <c r="F50" s="13" t="s">
        <v>491</v>
      </c>
      <c r="G50" s="106" t="s">
        <v>47</v>
      </c>
    </row>
    <row r="51" spans="1:7" ht="16.5" x14ac:dyDescent="0.25">
      <c r="A51" s="107"/>
      <c r="B51" s="13" t="s">
        <v>490</v>
      </c>
      <c r="C51" s="104"/>
      <c r="D51" s="104"/>
      <c r="E51" s="104"/>
      <c r="F51" s="13" t="s">
        <v>91</v>
      </c>
      <c r="G51" s="107"/>
    </row>
    <row r="52" spans="1:7" ht="17.25" thickBot="1" x14ac:dyDescent="0.3">
      <c r="A52" s="107"/>
      <c r="B52" s="28" t="s">
        <v>92</v>
      </c>
      <c r="C52" s="105"/>
      <c r="D52" s="105"/>
      <c r="E52" s="105"/>
      <c r="F52" s="25"/>
      <c r="G52" s="108"/>
    </row>
    <row r="53" spans="1:7" ht="16.5" x14ac:dyDescent="0.25">
      <c r="A53" s="107"/>
      <c r="B53" s="8" t="s">
        <v>93</v>
      </c>
      <c r="C53" s="103">
        <v>1</v>
      </c>
      <c r="D53" s="103">
        <v>4</v>
      </c>
      <c r="E53" s="103">
        <v>4</v>
      </c>
      <c r="F53" s="13" t="s">
        <v>494</v>
      </c>
      <c r="G53" s="106" t="s">
        <v>95</v>
      </c>
    </row>
    <row r="54" spans="1:7" ht="16.5" x14ac:dyDescent="0.25">
      <c r="A54" s="107"/>
      <c r="B54" s="13" t="s">
        <v>492</v>
      </c>
      <c r="C54" s="104"/>
      <c r="D54" s="104"/>
      <c r="E54" s="104"/>
      <c r="F54" s="13" t="s">
        <v>97</v>
      </c>
      <c r="G54" s="107"/>
    </row>
    <row r="55" spans="1:7" ht="17.25" thickBot="1" x14ac:dyDescent="0.3">
      <c r="A55" s="108"/>
      <c r="B55" s="28" t="s">
        <v>493</v>
      </c>
      <c r="C55" s="105"/>
      <c r="D55" s="105"/>
      <c r="E55" s="105"/>
      <c r="F55" s="25"/>
      <c r="G55" s="108"/>
    </row>
    <row r="56" spans="1:7" ht="16.5" x14ac:dyDescent="0.25">
      <c r="A56" s="106" t="s">
        <v>184</v>
      </c>
      <c r="B56" s="30" t="s">
        <v>353</v>
      </c>
      <c r="C56" s="103">
        <v>1</v>
      </c>
      <c r="D56" s="103">
        <v>4</v>
      </c>
      <c r="E56" s="103">
        <v>4</v>
      </c>
      <c r="F56" s="19" t="s">
        <v>101</v>
      </c>
      <c r="G56" s="106" t="s">
        <v>102</v>
      </c>
    </row>
    <row r="57" spans="1:7" ht="16.5" x14ac:dyDescent="0.25">
      <c r="A57" s="107"/>
      <c r="B57" s="19" t="s">
        <v>103</v>
      </c>
      <c r="C57" s="104"/>
      <c r="D57" s="104"/>
      <c r="E57" s="104"/>
      <c r="F57" s="19" t="s">
        <v>104</v>
      </c>
      <c r="G57" s="107"/>
    </row>
    <row r="58" spans="1:7" ht="16.5" x14ac:dyDescent="0.25">
      <c r="A58" s="107"/>
      <c r="B58" s="19" t="s">
        <v>105</v>
      </c>
      <c r="C58" s="104"/>
      <c r="D58" s="104"/>
      <c r="E58" s="104"/>
      <c r="F58" s="19" t="s">
        <v>106</v>
      </c>
      <c r="G58" s="107"/>
    </row>
    <row r="59" spans="1:7" ht="16.5" x14ac:dyDescent="0.25">
      <c r="A59" s="107"/>
      <c r="B59" s="19" t="s">
        <v>107</v>
      </c>
      <c r="C59" s="104"/>
      <c r="D59" s="104"/>
      <c r="E59" s="104"/>
      <c r="F59" s="19" t="s">
        <v>108</v>
      </c>
      <c r="G59" s="107"/>
    </row>
    <row r="60" spans="1:7" ht="16.5" x14ac:dyDescent="0.25">
      <c r="A60" s="107"/>
      <c r="B60" s="19" t="s">
        <v>109</v>
      </c>
      <c r="C60" s="104"/>
      <c r="D60" s="104"/>
      <c r="E60" s="104"/>
      <c r="F60" s="19" t="s">
        <v>110</v>
      </c>
      <c r="G60" s="107"/>
    </row>
    <row r="61" spans="1:7" ht="16.5" x14ac:dyDescent="0.25">
      <c r="A61" s="107"/>
      <c r="B61" s="19" t="s">
        <v>111</v>
      </c>
      <c r="C61" s="104"/>
      <c r="D61" s="104"/>
      <c r="E61" s="104"/>
      <c r="F61" s="19" t="s">
        <v>112</v>
      </c>
      <c r="G61" s="107"/>
    </row>
    <row r="62" spans="1:7" ht="16.5" x14ac:dyDescent="0.25">
      <c r="A62" s="107"/>
      <c r="B62" s="19" t="s">
        <v>113</v>
      </c>
      <c r="C62" s="104"/>
      <c r="D62" s="104"/>
      <c r="E62" s="104"/>
      <c r="F62" s="19" t="s">
        <v>114</v>
      </c>
      <c r="G62" s="107"/>
    </row>
    <row r="63" spans="1:7" ht="16.5" x14ac:dyDescent="0.25">
      <c r="A63" s="107"/>
      <c r="B63" s="19" t="s">
        <v>115</v>
      </c>
      <c r="C63" s="104"/>
      <c r="D63" s="104"/>
      <c r="E63" s="104"/>
      <c r="F63" s="19" t="s">
        <v>116</v>
      </c>
      <c r="G63" s="107"/>
    </row>
    <row r="64" spans="1:7" ht="16.5" x14ac:dyDescent="0.25">
      <c r="A64" s="107"/>
      <c r="B64" s="19" t="s">
        <v>117</v>
      </c>
      <c r="C64" s="104"/>
      <c r="D64" s="104"/>
      <c r="E64" s="104"/>
      <c r="F64" s="19" t="s">
        <v>118</v>
      </c>
      <c r="G64" s="107"/>
    </row>
    <row r="65" spans="1:7" ht="16.5" x14ac:dyDescent="0.25">
      <c r="A65" s="107"/>
      <c r="B65" s="19" t="s">
        <v>119</v>
      </c>
      <c r="C65" s="104"/>
      <c r="D65" s="104"/>
      <c r="E65" s="104"/>
      <c r="F65" s="19" t="s">
        <v>120</v>
      </c>
      <c r="G65" s="107"/>
    </row>
    <row r="66" spans="1:7" ht="17.25" thickBot="1" x14ac:dyDescent="0.3">
      <c r="A66" s="108"/>
      <c r="B66" s="25"/>
      <c r="C66" s="105"/>
      <c r="D66" s="105"/>
      <c r="E66" s="105"/>
      <c r="F66" s="31"/>
      <c r="G66" s="108"/>
    </row>
    <row r="67" spans="1:7" ht="17.25" thickBot="1" x14ac:dyDescent="0.3">
      <c r="A67" s="18"/>
      <c r="B67" s="100" t="s">
        <v>121</v>
      </c>
      <c r="C67" s="101"/>
      <c r="D67" s="102"/>
      <c r="E67" s="32">
        <f>SUM(E4:E66)</f>
        <v>88</v>
      </c>
      <c r="F67" s="33"/>
      <c r="G67" s="34"/>
    </row>
  </sheetData>
  <mergeCells count="79">
    <mergeCell ref="A56:A66"/>
    <mergeCell ref="C56:C66"/>
    <mergeCell ref="D56:D66"/>
    <mergeCell ref="E56:E66"/>
    <mergeCell ref="G56:G66"/>
    <mergeCell ref="B67:D67"/>
    <mergeCell ref="D50:D52"/>
    <mergeCell ref="E50:E52"/>
    <mergeCell ref="G50:G52"/>
    <mergeCell ref="C53:C55"/>
    <mergeCell ref="D53:D55"/>
    <mergeCell ref="E53:E55"/>
    <mergeCell ref="G53:G55"/>
    <mergeCell ref="A46:A55"/>
    <mergeCell ref="C46:C49"/>
    <mergeCell ref="D46:D49"/>
    <mergeCell ref="E46:E49"/>
    <mergeCell ref="G46:G49"/>
    <mergeCell ref="C50:C52"/>
    <mergeCell ref="C40:C42"/>
    <mergeCell ref="D40:D42"/>
    <mergeCell ref="E40:E42"/>
    <mergeCell ref="G40:G42"/>
    <mergeCell ref="C43:C45"/>
    <mergeCell ref="D43:D45"/>
    <mergeCell ref="E43:E45"/>
    <mergeCell ref="G43:G45"/>
    <mergeCell ref="E36:E37"/>
    <mergeCell ref="G36:G37"/>
    <mergeCell ref="C38:C39"/>
    <mergeCell ref="D38:D39"/>
    <mergeCell ref="E38:E39"/>
    <mergeCell ref="G38:G39"/>
    <mergeCell ref="C27:C29"/>
    <mergeCell ref="D27:D29"/>
    <mergeCell ref="E27:E29"/>
    <mergeCell ref="G27:G29"/>
    <mergeCell ref="A30:A45"/>
    <mergeCell ref="C30:C33"/>
    <mergeCell ref="D30:D33"/>
    <mergeCell ref="E30:E33"/>
    <mergeCell ref="G30:G33"/>
    <mergeCell ref="C34:C35"/>
    <mergeCell ref="A16:A29"/>
    <mergeCell ref="D34:D35"/>
    <mergeCell ref="E34:E35"/>
    <mergeCell ref="G34:G35"/>
    <mergeCell ref="C36:C37"/>
    <mergeCell ref="D36:D37"/>
    <mergeCell ref="F19:F20"/>
    <mergeCell ref="G19:G20"/>
    <mergeCell ref="C23:C26"/>
    <mergeCell ref="D23:D26"/>
    <mergeCell ref="E23:E26"/>
    <mergeCell ref="G23:G26"/>
    <mergeCell ref="C21:C22"/>
    <mergeCell ref="D21:D22"/>
    <mergeCell ref="E21:E22"/>
    <mergeCell ref="G21:G22"/>
    <mergeCell ref="G8:G10"/>
    <mergeCell ref="C11:C15"/>
    <mergeCell ref="D11:D15"/>
    <mergeCell ref="E11:E15"/>
    <mergeCell ref="G11:G15"/>
    <mergeCell ref="C16:C18"/>
    <mergeCell ref="D16:D18"/>
    <mergeCell ref="E16:E18"/>
    <mergeCell ref="G16:G18"/>
    <mergeCell ref="C19:C20"/>
    <mergeCell ref="D19:D20"/>
    <mergeCell ref="E19:E20"/>
    <mergeCell ref="B1:B3"/>
    <mergeCell ref="A4:A15"/>
    <mergeCell ref="C4:C7"/>
    <mergeCell ref="D4:D7"/>
    <mergeCell ref="E4:E7"/>
    <mergeCell ref="C8:C10"/>
    <mergeCell ref="D8:D10"/>
    <mergeCell ref="E8:E10"/>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20382B-1DE1-4E42-8C68-A14263D7D918}">
  <dimension ref="A1:G40"/>
  <sheetViews>
    <sheetView topLeftCell="A25" zoomScaleNormal="100" workbookViewId="0">
      <selection activeCell="B38" sqref="B38"/>
    </sheetView>
  </sheetViews>
  <sheetFormatPr defaultRowHeight="21" x14ac:dyDescent="0.55000000000000004"/>
  <cols>
    <col min="1" max="1" width="5.7109375" style="62" bestFit="1" customWidth="1"/>
    <col min="2" max="2" width="121.28515625" style="62" bestFit="1" customWidth="1"/>
    <col min="3" max="3" width="10.28515625" style="62" bestFit="1" customWidth="1"/>
    <col min="4" max="4" width="8" style="62" bestFit="1" customWidth="1"/>
    <col min="5" max="5" width="6.7109375" style="62" bestFit="1" customWidth="1"/>
    <col min="6" max="6" width="249.85546875" style="62" bestFit="1" customWidth="1"/>
    <col min="7" max="7" width="44.28515625" style="62" bestFit="1" customWidth="1"/>
    <col min="8" max="16384" width="9.140625" style="62"/>
  </cols>
  <sheetData>
    <row r="1" spans="1:7" x14ac:dyDescent="0.55000000000000004">
      <c r="A1" s="86" t="s">
        <v>0</v>
      </c>
      <c r="B1" s="144" t="s">
        <v>1</v>
      </c>
      <c r="C1" s="86" t="s">
        <v>2</v>
      </c>
      <c r="D1" s="86" t="s">
        <v>3</v>
      </c>
      <c r="E1" s="86" t="s">
        <v>0</v>
      </c>
      <c r="F1" s="86" t="s">
        <v>4</v>
      </c>
      <c r="G1" s="86" t="s">
        <v>5</v>
      </c>
    </row>
    <row r="2" spans="1:7" x14ac:dyDescent="0.55000000000000004">
      <c r="A2" s="86" t="s">
        <v>6</v>
      </c>
      <c r="B2" s="144"/>
      <c r="C2" s="86" t="s">
        <v>7</v>
      </c>
      <c r="D2" s="86" t="s">
        <v>8</v>
      </c>
      <c r="E2" s="86" t="s">
        <v>9</v>
      </c>
      <c r="F2" s="86" t="s">
        <v>10</v>
      </c>
      <c r="G2" s="86" t="s">
        <v>11</v>
      </c>
    </row>
    <row r="3" spans="1:7" x14ac:dyDescent="0.55000000000000004">
      <c r="A3" s="95"/>
      <c r="B3" s="145"/>
      <c r="C3" s="96" t="s">
        <v>12</v>
      </c>
      <c r="D3" s="96" t="s">
        <v>12</v>
      </c>
      <c r="E3" s="96" t="s">
        <v>13</v>
      </c>
      <c r="F3" s="95"/>
      <c r="G3" s="93"/>
    </row>
    <row r="4" spans="1:7" x14ac:dyDescent="0.55000000000000004">
      <c r="A4" s="139" t="s">
        <v>14</v>
      </c>
      <c r="B4" s="88" t="s">
        <v>443</v>
      </c>
      <c r="C4" s="133">
        <v>1</v>
      </c>
      <c r="D4" s="133">
        <v>4</v>
      </c>
      <c r="E4" s="133">
        <v>4</v>
      </c>
      <c r="F4" s="97" t="s">
        <v>841</v>
      </c>
      <c r="G4" s="85" t="s">
        <v>17</v>
      </c>
    </row>
    <row r="5" spans="1:7" x14ac:dyDescent="0.55000000000000004">
      <c r="A5" s="139"/>
      <c r="B5" s="88" t="s">
        <v>444</v>
      </c>
      <c r="C5" s="133"/>
      <c r="D5" s="133"/>
      <c r="E5" s="133"/>
      <c r="F5" s="97" t="s">
        <v>842</v>
      </c>
      <c r="G5" s="85" t="s">
        <v>47</v>
      </c>
    </row>
    <row r="6" spans="1:7" ht="21.75" thickBot="1" x14ac:dyDescent="0.6">
      <c r="A6" s="139"/>
      <c r="B6" s="97" t="s">
        <v>853</v>
      </c>
      <c r="C6" s="133"/>
      <c r="D6" s="133"/>
      <c r="E6" s="133"/>
      <c r="F6" s="90"/>
      <c r="G6" s="94"/>
    </row>
    <row r="7" spans="1:7" x14ac:dyDescent="0.55000000000000004">
      <c r="A7" s="139"/>
      <c r="B7" s="88" t="s">
        <v>23</v>
      </c>
      <c r="C7" s="133">
        <v>1</v>
      </c>
      <c r="D7" s="133">
        <v>4</v>
      </c>
      <c r="E7" s="133">
        <v>4</v>
      </c>
      <c r="F7" s="90" t="s">
        <v>451</v>
      </c>
      <c r="G7" s="134" t="s">
        <v>47</v>
      </c>
    </row>
    <row r="8" spans="1:7" x14ac:dyDescent="0.55000000000000004">
      <c r="A8" s="139"/>
      <c r="B8" s="97" t="s">
        <v>854</v>
      </c>
      <c r="C8" s="133"/>
      <c r="D8" s="133"/>
      <c r="E8" s="133"/>
      <c r="F8" s="90" t="s">
        <v>452</v>
      </c>
      <c r="G8" s="135"/>
    </row>
    <row r="9" spans="1:7" ht="21.75" thickBot="1" x14ac:dyDescent="0.6">
      <c r="A9" s="139"/>
      <c r="B9" s="97" t="s">
        <v>855</v>
      </c>
      <c r="C9" s="133"/>
      <c r="D9" s="133"/>
      <c r="E9" s="133"/>
      <c r="F9" s="90" t="s">
        <v>453</v>
      </c>
      <c r="G9" s="136"/>
    </row>
    <row r="10" spans="1:7" x14ac:dyDescent="0.55000000000000004">
      <c r="A10" s="139"/>
      <c r="B10" s="88" t="s">
        <v>30</v>
      </c>
      <c r="C10" s="133">
        <v>1</v>
      </c>
      <c r="D10" s="133">
        <v>3</v>
      </c>
      <c r="E10" s="133">
        <v>3</v>
      </c>
      <c r="F10" s="90" t="s">
        <v>843</v>
      </c>
      <c r="G10" s="134" t="s">
        <v>47</v>
      </c>
    </row>
    <row r="11" spans="1:7" x14ac:dyDescent="0.55000000000000004">
      <c r="A11" s="139"/>
      <c r="B11" s="90" t="s">
        <v>844</v>
      </c>
      <c r="C11" s="133"/>
      <c r="D11" s="133"/>
      <c r="E11" s="133"/>
      <c r="F11" s="90" t="s">
        <v>845</v>
      </c>
      <c r="G11" s="135"/>
    </row>
    <row r="12" spans="1:7" ht="21.75" thickBot="1" x14ac:dyDescent="0.6">
      <c r="A12" s="141"/>
      <c r="B12" s="99" t="s">
        <v>846</v>
      </c>
      <c r="C12" s="142"/>
      <c r="D12" s="142"/>
      <c r="E12" s="142"/>
      <c r="F12" s="99" t="s">
        <v>456</v>
      </c>
      <c r="G12" s="135"/>
    </row>
    <row r="13" spans="1:7" x14ac:dyDescent="0.55000000000000004">
      <c r="A13" s="139" t="s">
        <v>34</v>
      </c>
      <c r="B13" s="88" t="s">
        <v>35</v>
      </c>
      <c r="C13" s="133">
        <v>1</v>
      </c>
      <c r="D13" s="133">
        <v>4</v>
      </c>
      <c r="E13" s="133">
        <v>4</v>
      </c>
      <c r="F13" s="90" t="s">
        <v>130</v>
      </c>
      <c r="G13" s="134" t="s">
        <v>17</v>
      </c>
    </row>
    <row r="14" spans="1:7" x14ac:dyDescent="0.55000000000000004">
      <c r="A14" s="139"/>
      <c r="B14" s="88" t="s">
        <v>37</v>
      </c>
      <c r="C14" s="133"/>
      <c r="D14" s="133"/>
      <c r="E14" s="133"/>
      <c r="F14" s="90" t="s">
        <v>131</v>
      </c>
      <c r="G14" s="135"/>
    </row>
    <row r="15" spans="1:7" ht="21.75" thickBot="1" x14ac:dyDescent="0.6">
      <c r="A15" s="139"/>
      <c r="B15" s="87" t="s">
        <v>39</v>
      </c>
      <c r="C15" s="133"/>
      <c r="D15" s="133"/>
      <c r="E15" s="133"/>
      <c r="F15" s="98"/>
      <c r="G15" s="138"/>
    </row>
    <row r="16" spans="1:7" x14ac:dyDescent="0.55000000000000004">
      <c r="A16" s="139"/>
      <c r="B16" s="88" t="s">
        <v>40</v>
      </c>
      <c r="C16" s="133">
        <v>1</v>
      </c>
      <c r="D16" s="133">
        <v>4</v>
      </c>
      <c r="E16" s="133">
        <v>4</v>
      </c>
      <c r="F16" s="140" t="s">
        <v>414</v>
      </c>
      <c r="G16" s="137" t="s">
        <v>17</v>
      </c>
    </row>
    <row r="17" spans="1:7" ht="21.75" thickBot="1" x14ac:dyDescent="0.6">
      <c r="A17" s="139"/>
      <c r="B17" s="87" t="s">
        <v>42</v>
      </c>
      <c r="C17" s="133"/>
      <c r="D17" s="133"/>
      <c r="E17" s="133"/>
      <c r="F17" s="140"/>
      <c r="G17" s="138"/>
    </row>
    <row r="18" spans="1:7" x14ac:dyDescent="0.55000000000000004">
      <c r="A18" s="139"/>
      <c r="B18" s="88" t="s">
        <v>133</v>
      </c>
      <c r="C18" s="133">
        <v>1</v>
      </c>
      <c r="D18" s="133">
        <v>4</v>
      </c>
      <c r="E18" s="133">
        <v>4</v>
      </c>
      <c r="F18" s="97" t="s">
        <v>856</v>
      </c>
      <c r="G18" s="137" t="s">
        <v>17</v>
      </c>
    </row>
    <row r="19" spans="1:7" ht="21.75" thickBot="1" x14ac:dyDescent="0.6">
      <c r="A19" s="139"/>
      <c r="B19" s="87" t="s">
        <v>866</v>
      </c>
      <c r="C19" s="133"/>
      <c r="D19" s="133"/>
      <c r="E19" s="133"/>
      <c r="F19" s="90" t="s">
        <v>857</v>
      </c>
      <c r="G19" s="138"/>
    </row>
    <row r="20" spans="1:7" x14ac:dyDescent="0.55000000000000004">
      <c r="A20" s="139"/>
      <c r="B20" s="88" t="s">
        <v>137</v>
      </c>
      <c r="C20" s="133">
        <v>2</v>
      </c>
      <c r="D20" s="133">
        <v>4</v>
      </c>
      <c r="E20" s="133">
        <v>8</v>
      </c>
      <c r="F20" s="97" t="s">
        <v>858</v>
      </c>
      <c r="G20" s="137" t="s">
        <v>47</v>
      </c>
    </row>
    <row r="21" spans="1:7" x14ac:dyDescent="0.55000000000000004">
      <c r="A21" s="139"/>
      <c r="B21" s="97" t="s">
        <v>859</v>
      </c>
      <c r="C21" s="133"/>
      <c r="D21" s="133"/>
      <c r="E21" s="133"/>
      <c r="F21" s="97" t="s">
        <v>860</v>
      </c>
      <c r="G21" s="135"/>
    </row>
    <row r="22" spans="1:7" x14ac:dyDescent="0.55000000000000004">
      <c r="A22" s="139"/>
      <c r="B22" s="97" t="s">
        <v>861</v>
      </c>
      <c r="C22" s="133"/>
      <c r="D22" s="133"/>
      <c r="E22" s="133"/>
      <c r="F22" s="97" t="s">
        <v>862</v>
      </c>
      <c r="G22" s="135"/>
    </row>
    <row r="23" spans="1:7" ht="21.75" thickBot="1" x14ac:dyDescent="0.6">
      <c r="A23" s="139"/>
      <c r="B23" s="97" t="s">
        <v>863</v>
      </c>
      <c r="C23" s="133"/>
      <c r="D23" s="133"/>
      <c r="E23" s="133"/>
      <c r="F23" s="98"/>
      <c r="G23" s="138"/>
    </row>
    <row r="24" spans="1:7" x14ac:dyDescent="0.55000000000000004">
      <c r="A24" s="139"/>
      <c r="B24" s="88" t="s">
        <v>60</v>
      </c>
      <c r="C24" s="133">
        <v>1</v>
      </c>
      <c r="D24" s="133">
        <v>4</v>
      </c>
      <c r="E24" s="133">
        <v>4</v>
      </c>
      <c r="F24" s="97" t="s">
        <v>864</v>
      </c>
      <c r="G24" s="134" t="s">
        <v>47</v>
      </c>
    </row>
    <row r="25" spans="1:7" x14ac:dyDescent="0.55000000000000004">
      <c r="A25" s="139"/>
      <c r="B25" s="97" t="s">
        <v>867</v>
      </c>
      <c r="C25" s="133"/>
      <c r="D25" s="133"/>
      <c r="E25" s="133"/>
      <c r="F25" s="97" t="s">
        <v>865</v>
      </c>
      <c r="G25" s="135"/>
    </row>
    <row r="26" spans="1:7" ht="21.75" thickBot="1" x14ac:dyDescent="0.6">
      <c r="A26" s="139"/>
      <c r="B26" s="97" t="s">
        <v>868</v>
      </c>
      <c r="C26" s="133"/>
      <c r="D26" s="133"/>
      <c r="E26" s="133"/>
      <c r="F26" s="98"/>
      <c r="G26" s="136"/>
    </row>
    <row r="27" spans="1:7" x14ac:dyDescent="0.55000000000000004">
      <c r="A27" s="139" t="s">
        <v>34</v>
      </c>
      <c r="B27" s="88" t="s">
        <v>833</v>
      </c>
      <c r="C27" s="133">
        <v>1</v>
      </c>
      <c r="D27" s="133">
        <v>4</v>
      </c>
      <c r="E27" s="133">
        <v>4</v>
      </c>
      <c r="F27" s="139" t="s">
        <v>834</v>
      </c>
      <c r="G27" s="139" t="s">
        <v>771</v>
      </c>
    </row>
    <row r="28" spans="1:7" x14ac:dyDescent="0.55000000000000004">
      <c r="A28" s="139"/>
      <c r="B28" s="90" t="s">
        <v>847</v>
      </c>
      <c r="C28" s="133"/>
      <c r="D28" s="133"/>
      <c r="E28" s="133"/>
      <c r="F28" s="139"/>
      <c r="G28" s="139"/>
    </row>
    <row r="29" spans="1:7" x14ac:dyDescent="0.55000000000000004">
      <c r="A29" s="139"/>
      <c r="B29" s="90" t="s">
        <v>848</v>
      </c>
      <c r="C29" s="89">
        <v>1</v>
      </c>
      <c r="D29" s="89">
        <v>3</v>
      </c>
      <c r="E29" s="89">
        <v>3</v>
      </c>
      <c r="F29" s="87" t="s">
        <v>835</v>
      </c>
      <c r="G29" s="139"/>
    </row>
    <row r="30" spans="1:7" x14ac:dyDescent="0.55000000000000004">
      <c r="A30" s="139"/>
      <c r="B30" s="90" t="s">
        <v>849</v>
      </c>
      <c r="C30" s="89">
        <v>4</v>
      </c>
      <c r="D30" s="89">
        <v>4</v>
      </c>
      <c r="E30" s="89">
        <v>16</v>
      </c>
      <c r="F30" s="87" t="s">
        <v>836</v>
      </c>
      <c r="G30" s="139"/>
    </row>
    <row r="31" spans="1:7" x14ac:dyDescent="0.55000000000000004">
      <c r="A31" s="139"/>
      <c r="B31" s="90" t="s">
        <v>850</v>
      </c>
      <c r="C31" s="89">
        <v>1</v>
      </c>
      <c r="D31" s="89">
        <v>4</v>
      </c>
      <c r="E31" s="89">
        <v>4</v>
      </c>
      <c r="F31" s="87" t="s">
        <v>837</v>
      </c>
      <c r="G31" s="139"/>
    </row>
    <row r="32" spans="1:7" x14ac:dyDescent="0.55000000000000004">
      <c r="A32" s="139" t="s">
        <v>81</v>
      </c>
      <c r="B32" s="88" t="s">
        <v>838</v>
      </c>
      <c r="C32" s="133">
        <v>4</v>
      </c>
      <c r="D32" s="133">
        <v>3</v>
      </c>
      <c r="E32" s="133">
        <v>12</v>
      </c>
      <c r="F32" s="139" t="s">
        <v>839</v>
      </c>
      <c r="G32" s="139" t="s">
        <v>771</v>
      </c>
    </row>
    <row r="33" spans="1:7" x14ac:dyDescent="0.55000000000000004">
      <c r="A33" s="139"/>
      <c r="B33" s="90" t="s">
        <v>851</v>
      </c>
      <c r="C33" s="133"/>
      <c r="D33" s="133"/>
      <c r="E33" s="133"/>
      <c r="F33" s="139"/>
      <c r="G33" s="139"/>
    </row>
    <row r="34" spans="1:7" x14ac:dyDescent="0.55000000000000004">
      <c r="A34" s="139"/>
      <c r="B34" s="90" t="s">
        <v>852</v>
      </c>
      <c r="C34" s="89">
        <v>3</v>
      </c>
      <c r="D34" s="89">
        <v>3</v>
      </c>
      <c r="E34" s="89">
        <v>9</v>
      </c>
      <c r="F34" s="87" t="s">
        <v>840</v>
      </c>
      <c r="G34" s="139"/>
    </row>
    <row r="35" spans="1:7" x14ac:dyDescent="0.55000000000000004">
      <c r="A35" s="91"/>
      <c r="B35" s="143" t="s">
        <v>121</v>
      </c>
      <c r="C35" s="143"/>
      <c r="D35" s="143"/>
      <c r="E35" s="92">
        <f>SUM(E4:E34)</f>
        <v>83</v>
      </c>
      <c r="F35" s="87"/>
      <c r="G35" s="91"/>
    </row>
    <row r="40" spans="1:7" x14ac:dyDescent="0.55000000000000004">
      <c r="B40" s="62">
        <f>84-75</f>
        <v>9</v>
      </c>
    </row>
  </sheetData>
  <mergeCells count="48">
    <mergeCell ref="B1:B3"/>
    <mergeCell ref="D10:D12"/>
    <mergeCell ref="E10:E12"/>
    <mergeCell ref="C24:C26"/>
    <mergeCell ref="D24:D26"/>
    <mergeCell ref="E7:E9"/>
    <mergeCell ref="G7:G9"/>
    <mergeCell ref="C10:C12"/>
    <mergeCell ref="B35:D35"/>
    <mergeCell ref="A32:A34"/>
    <mergeCell ref="C32:C33"/>
    <mergeCell ref="D32:D33"/>
    <mergeCell ref="E32:E33"/>
    <mergeCell ref="F32:F33"/>
    <mergeCell ref="G32:G34"/>
    <mergeCell ref="A27:A31"/>
    <mergeCell ref="C27:C28"/>
    <mergeCell ref="D27:D28"/>
    <mergeCell ref="E27:E28"/>
    <mergeCell ref="F27:F28"/>
    <mergeCell ref="G27:G31"/>
    <mergeCell ref="G10:G12"/>
    <mergeCell ref="A13:A26"/>
    <mergeCell ref="C13:C15"/>
    <mergeCell ref="D13:D15"/>
    <mergeCell ref="E13:E15"/>
    <mergeCell ref="G13:G15"/>
    <mergeCell ref="C16:C17"/>
    <mergeCell ref="D16:D17"/>
    <mergeCell ref="E16:E17"/>
    <mergeCell ref="F16:F17"/>
    <mergeCell ref="A4:A12"/>
    <mergeCell ref="C4:C6"/>
    <mergeCell ref="D4:D6"/>
    <mergeCell ref="E4:E6"/>
    <mergeCell ref="C7:C9"/>
    <mergeCell ref="D7:D9"/>
    <mergeCell ref="E24:E26"/>
    <mergeCell ref="G24:G26"/>
    <mergeCell ref="G16:G17"/>
    <mergeCell ref="C18:C19"/>
    <mergeCell ref="D18:D19"/>
    <mergeCell ref="E18:E19"/>
    <mergeCell ref="G18:G19"/>
    <mergeCell ref="C20:C23"/>
    <mergeCell ref="D20:D23"/>
    <mergeCell ref="E20:E23"/>
    <mergeCell ref="G20:G2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E7C65D-41E1-4327-BE1F-73BCA0AC270E}">
  <dimension ref="A1:G68"/>
  <sheetViews>
    <sheetView topLeftCell="A21" zoomScale="55" zoomScaleNormal="55" workbookViewId="0">
      <selection activeCell="B50" sqref="B50"/>
    </sheetView>
  </sheetViews>
  <sheetFormatPr defaultRowHeight="15" x14ac:dyDescent="0.25"/>
  <cols>
    <col min="1" max="1" width="6.85546875" bestFit="1" customWidth="1"/>
    <col min="2" max="2" width="209.7109375" bestFit="1" customWidth="1"/>
    <col min="3" max="3" width="12.7109375" bestFit="1" customWidth="1"/>
    <col min="4" max="4" width="10.140625" bestFit="1" customWidth="1"/>
    <col min="5" max="5" width="8.42578125" bestFit="1" customWidth="1"/>
    <col min="6" max="6" width="219.28515625" bestFit="1" customWidth="1"/>
    <col min="7" max="7" width="112.28515625" bestFit="1" customWidth="1"/>
  </cols>
  <sheetData>
    <row r="1" spans="1:7" ht="16.5" x14ac:dyDescent="0.25">
      <c r="A1" s="35" t="s">
        <v>0</v>
      </c>
      <c r="B1" s="146" t="s">
        <v>1</v>
      </c>
      <c r="C1" s="36" t="s">
        <v>2</v>
      </c>
      <c r="D1" s="36" t="s">
        <v>3</v>
      </c>
      <c r="E1" s="36" t="s">
        <v>0</v>
      </c>
      <c r="F1" s="36" t="s">
        <v>4</v>
      </c>
      <c r="G1" s="36" t="s">
        <v>5</v>
      </c>
    </row>
    <row r="2" spans="1:7" ht="16.5" x14ac:dyDescent="0.25">
      <c r="A2" s="37" t="s">
        <v>6</v>
      </c>
      <c r="B2" s="147"/>
      <c r="C2" s="38" t="s">
        <v>7</v>
      </c>
      <c r="D2" s="38" t="s">
        <v>8</v>
      </c>
      <c r="E2" s="38" t="s">
        <v>9</v>
      </c>
      <c r="F2" s="38" t="s">
        <v>10</v>
      </c>
      <c r="G2" s="38" t="s">
        <v>11</v>
      </c>
    </row>
    <row r="3" spans="1:7" ht="17.25" thickBot="1" x14ac:dyDescent="0.3">
      <c r="A3" s="39"/>
      <c r="B3" s="148"/>
      <c r="C3" s="40" t="s">
        <v>12</v>
      </c>
      <c r="D3" s="40" t="s">
        <v>12</v>
      </c>
      <c r="E3" s="40" t="s">
        <v>13</v>
      </c>
      <c r="F3" s="41"/>
      <c r="G3" s="41"/>
    </row>
    <row r="4" spans="1:7" ht="21" x14ac:dyDescent="0.25">
      <c r="A4" s="106" t="s">
        <v>14</v>
      </c>
      <c r="B4" s="8" t="s">
        <v>15</v>
      </c>
      <c r="C4" s="103">
        <v>2</v>
      </c>
      <c r="D4" s="103">
        <v>3</v>
      </c>
      <c r="E4" s="103">
        <v>6</v>
      </c>
      <c r="F4" s="9" t="s">
        <v>262</v>
      </c>
      <c r="G4" s="23" t="s">
        <v>17</v>
      </c>
    </row>
    <row r="5" spans="1:7" ht="21" x14ac:dyDescent="0.25">
      <c r="A5" s="107"/>
      <c r="B5" s="8" t="s">
        <v>122</v>
      </c>
      <c r="C5" s="104"/>
      <c r="D5" s="104"/>
      <c r="E5" s="104"/>
      <c r="F5" s="9" t="s">
        <v>125</v>
      </c>
      <c r="G5" s="23" t="s">
        <v>47</v>
      </c>
    </row>
    <row r="6" spans="1:7" ht="21.75" thickBot="1" x14ac:dyDescent="0.3">
      <c r="A6" s="107"/>
      <c r="B6" s="16" t="s">
        <v>261</v>
      </c>
      <c r="C6" s="111"/>
      <c r="D6" s="111"/>
      <c r="E6" s="111"/>
      <c r="F6" s="42" t="s">
        <v>263</v>
      </c>
      <c r="G6" s="17"/>
    </row>
    <row r="7" spans="1:7" ht="21" x14ac:dyDescent="0.25">
      <c r="A7" s="107"/>
      <c r="B7" s="8" t="s">
        <v>127</v>
      </c>
      <c r="C7" s="109">
        <v>1</v>
      </c>
      <c r="D7" s="109">
        <v>3</v>
      </c>
      <c r="E7" s="109">
        <v>3</v>
      </c>
      <c r="F7" s="9" t="s">
        <v>262</v>
      </c>
      <c r="G7" s="23" t="s">
        <v>17</v>
      </c>
    </row>
    <row r="8" spans="1:7" ht="21" x14ac:dyDescent="0.25">
      <c r="A8" s="107"/>
      <c r="B8" s="13" t="s">
        <v>264</v>
      </c>
      <c r="C8" s="104"/>
      <c r="D8" s="104"/>
      <c r="E8" s="104"/>
      <c r="F8" s="9" t="s">
        <v>265</v>
      </c>
      <c r="G8" s="23" t="s">
        <v>47</v>
      </c>
    </row>
    <row r="9" spans="1:7" ht="21.75" thickBot="1" x14ac:dyDescent="0.3">
      <c r="A9" s="108"/>
      <c r="B9" s="17"/>
      <c r="C9" s="111"/>
      <c r="D9" s="111"/>
      <c r="E9" s="111"/>
      <c r="F9" s="42" t="s">
        <v>129</v>
      </c>
      <c r="G9" s="17"/>
    </row>
    <row r="10" spans="1:7" ht="16.5" x14ac:dyDescent="0.25">
      <c r="A10" s="106" t="s">
        <v>34</v>
      </c>
      <c r="B10" s="8" t="s">
        <v>35</v>
      </c>
      <c r="C10" s="109">
        <v>1</v>
      </c>
      <c r="D10" s="109">
        <v>4</v>
      </c>
      <c r="E10" s="109">
        <v>4</v>
      </c>
      <c r="F10" s="19" t="s">
        <v>130</v>
      </c>
      <c r="G10" s="110" t="s">
        <v>17</v>
      </c>
    </row>
    <row r="11" spans="1:7" ht="16.5" x14ac:dyDescent="0.25">
      <c r="A11" s="107"/>
      <c r="B11" s="8" t="s">
        <v>37</v>
      </c>
      <c r="C11" s="104"/>
      <c r="D11" s="104"/>
      <c r="E11" s="104"/>
      <c r="F11" s="19" t="s">
        <v>131</v>
      </c>
      <c r="G11" s="107"/>
    </row>
    <row r="12" spans="1:7" ht="17.25" thickBot="1" x14ac:dyDescent="0.3">
      <c r="A12" s="107"/>
      <c r="B12" s="16" t="s">
        <v>266</v>
      </c>
      <c r="C12" s="111"/>
      <c r="D12" s="111"/>
      <c r="E12" s="111"/>
      <c r="F12" s="17"/>
      <c r="G12" s="112"/>
    </row>
    <row r="13" spans="1:7" ht="16.5" x14ac:dyDescent="0.25">
      <c r="A13" s="107"/>
      <c r="B13" s="8" t="s">
        <v>40</v>
      </c>
      <c r="C13" s="109">
        <v>1</v>
      </c>
      <c r="D13" s="109">
        <v>4</v>
      </c>
      <c r="E13" s="109">
        <v>4</v>
      </c>
      <c r="F13" s="116" t="s">
        <v>132</v>
      </c>
      <c r="G13" s="110" t="s">
        <v>17</v>
      </c>
    </row>
    <row r="14" spans="1:7" ht="17.25" thickBot="1" x14ac:dyDescent="0.3">
      <c r="A14" s="107"/>
      <c r="B14" s="16" t="s">
        <v>267</v>
      </c>
      <c r="C14" s="111"/>
      <c r="D14" s="111"/>
      <c r="E14" s="111"/>
      <c r="F14" s="119"/>
      <c r="G14" s="112"/>
    </row>
    <row r="15" spans="1:7" ht="16.5" x14ac:dyDescent="0.25">
      <c r="A15" s="107"/>
      <c r="B15" s="8" t="s">
        <v>133</v>
      </c>
      <c r="C15" s="109">
        <v>1</v>
      </c>
      <c r="D15" s="109">
        <v>4</v>
      </c>
      <c r="E15" s="109">
        <v>4</v>
      </c>
      <c r="F15" s="19" t="s">
        <v>268</v>
      </c>
      <c r="G15" s="110" t="s">
        <v>17</v>
      </c>
    </row>
    <row r="16" spans="1:7" ht="16.5" x14ac:dyDescent="0.25">
      <c r="A16" s="107"/>
      <c r="B16" s="13" t="s">
        <v>134</v>
      </c>
      <c r="C16" s="104"/>
      <c r="D16" s="104"/>
      <c r="E16" s="104"/>
      <c r="F16" s="13" t="s">
        <v>269</v>
      </c>
      <c r="G16" s="107"/>
    </row>
    <row r="17" spans="1:7" ht="16.5" x14ac:dyDescent="0.25">
      <c r="A17" s="107"/>
      <c r="B17" s="48"/>
      <c r="C17" s="104"/>
      <c r="D17" s="104"/>
      <c r="E17" s="104"/>
      <c r="F17" s="15"/>
      <c r="G17" s="107"/>
    </row>
    <row r="18" spans="1:7" x14ac:dyDescent="0.25">
      <c r="A18" s="107"/>
      <c r="B18" s="15"/>
      <c r="C18" s="104"/>
      <c r="D18" s="104"/>
      <c r="E18" s="104"/>
      <c r="F18" s="15"/>
      <c r="G18" s="107"/>
    </row>
    <row r="19" spans="1:7" x14ac:dyDescent="0.25">
      <c r="A19" s="107"/>
      <c r="B19" s="15"/>
      <c r="C19" s="104"/>
      <c r="D19" s="104"/>
      <c r="E19" s="104"/>
      <c r="F19" s="15"/>
      <c r="G19" s="107"/>
    </row>
    <row r="20" spans="1:7" x14ac:dyDescent="0.25">
      <c r="A20" s="107"/>
      <c r="B20" s="15"/>
      <c r="C20" s="104"/>
      <c r="D20" s="104"/>
      <c r="E20" s="104"/>
      <c r="F20" s="15"/>
      <c r="G20" s="107"/>
    </row>
    <row r="21" spans="1:7" x14ac:dyDescent="0.25">
      <c r="A21" s="107"/>
      <c r="B21" s="15"/>
      <c r="C21" s="104"/>
      <c r="D21" s="104"/>
      <c r="E21" s="104"/>
      <c r="F21" s="15"/>
      <c r="G21" s="107"/>
    </row>
    <row r="22" spans="1:7" x14ac:dyDescent="0.25">
      <c r="A22" s="107"/>
      <c r="B22" s="15"/>
      <c r="C22" s="104"/>
      <c r="D22" s="104"/>
      <c r="E22" s="104"/>
      <c r="F22" s="15"/>
      <c r="G22" s="107"/>
    </row>
    <row r="23" spans="1:7" x14ac:dyDescent="0.25">
      <c r="A23" s="107"/>
      <c r="B23" s="15"/>
      <c r="C23" s="104"/>
      <c r="D23" s="104"/>
      <c r="E23" s="104"/>
      <c r="F23" s="15"/>
      <c r="G23" s="107"/>
    </row>
    <row r="24" spans="1:7" x14ac:dyDescent="0.25">
      <c r="A24" s="107"/>
      <c r="B24" s="15"/>
      <c r="C24" s="104"/>
      <c r="D24" s="104"/>
      <c r="E24" s="104"/>
      <c r="F24" s="15"/>
      <c r="G24" s="107"/>
    </row>
    <row r="25" spans="1:7" x14ac:dyDescent="0.25">
      <c r="A25" s="107"/>
      <c r="B25" s="15"/>
      <c r="C25" s="104"/>
      <c r="D25" s="104"/>
      <c r="E25" s="104"/>
      <c r="F25" s="15"/>
      <c r="G25" s="107"/>
    </row>
    <row r="26" spans="1:7" ht="15.75" thickBot="1" x14ac:dyDescent="0.3">
      <c r="A26" s="107"/>
      <c r="B26" s="17"/>
      <c r="C26" s="111"/>
      <c r="D26" s="111"/>
      <c r="E26" s="111"/>
      <c r="F26" s="17"/>
      <c r="G26" s="112"/>
    </row>
    <row r="27" spans="1:7" ht="16.5" x14ac:dyDescent="0.25">
      <c r="A27" s="107"/>
      <c r="B27" s="8" t="s">
        <v>137</v>
      </c>
      <c r="C27" s="109">
        <v>2</v>
      </c>
      <c r="D27" s="109">
        <v>4</v>
      </c>
      <c r="E27" s="109">
        <v>8</v>
      </c>
      <c r="F27" s="13" t="s">
        <v>54</v>
      </c>
      <c r="G27" s="110" t="s">
        <v>47</v>
      </c>
    </row>
    <row r="28" spans="1:7" ht="16.5" x14ac:dyDescent="0.25">
      <c r="A28" s="107"/>
      <c r="B28" s="13" t="s">
        <v>55</v>
      </c>
      <c r="C28" s="104"/>
      <c r="D28" s="104"/>
      <c r="E28" s="104"/>
      <c r="F28" s="13" t="s">
        <v>56</v>
      </c>
      <c r="G28" s="107"/>
    </row>
    <row r="29" spans="1:7" ht="16.5" x14ac:dyDescent="0.25">
      <c r="A29" s="107"/>
      <c r="B29" s="13" t="s">
        <v>57</v>
      </c>
      <c r="C29" s="104"/>
      <c r="D29" s="104"/>
      <c r="E29" s="104"/>
      <c r="F29" s="13" t="s">
        <v>139</v>
      </c>
      <c r="G29" s="107"/>
    </row>
    <row r="30" spans="1:7" ht="17.25" thickBot="1" x14ac:dyDescent="0.3">
      <c r="A30" s="107"/>
      <c r="B30" s="16" t="s">
        <v>270</v>
      </c>
      <c r="C30" s="111"/>
      <c r="D30" s="111"/>
      <c r="E30" s="111"/>
      <c r="F30" s="17"/>
      <c r="G30" s="112"/>
    </row>
    <row r="31" spans="1:7" ht="17.25" x14ac:dyDescent="0.25">
      <c r="A31" s="107"/>
      <c r="B31" s="8" t="s">
        <v>225</v>
      </c>
      <c r="C31" s="109">
        <v>3</v>
      </c>
      <c r="D31" s="109">
        <v>4</v>
      </c>
      <c r="E31" s="109">
        <v>12</v>
      </c>
      <c r="F31" s="49" t="s">
        <v>273</v>
      </c>
      <c r="G31" s="23" t="s">
        <v>17</v>
      </c>
    </row>
    <row r="32" spans="1:7" ht="17.25" x14ac:dyDescent="0.25">
      <c r="A32" s="107"/>
      <c r="B32" s="13" t="s">
        <v>271</v>
      </c>
      <c r="C32" s="104"/>
      <c r="D32" s="104"/>
      <c r="E32" s="104"/>
      <c r="F32" s="49" t="s">
        <v>274</v>
      </c>
      <c r="G32" s="23" t="s">
        <v>47</v>
      </c>
    </row>
    <row r="33" spans="1:7" ht="16.5" x14ac:dyDescent="0.25">
      <c r="A33" s="107"/>
      <c r="B33" s="13" t="s">
        <v>272</v>
      </c>
      <c r="C33" s="104"/>
      <c r="D33" s="104"/>
      <c r="E33" s="104"/>
      <c r="F33" s="13" t="s">
        <v>275</v>
      </c>
      <c r="G33" s="15"/>
    </row>
    <row r="34" spans="1:7" ht="17.25" thickBot="1" x14ac:dyDescent="0.3">
      <c r="A34" s="107"/>
      <c r="B34" s="25"/>
      <c r="C34" s="105"/>
      <c r="D34" s="105"/>
      <c r="E34" s="105"/>
      <c r="F34" s="28" t="s">
        <v>231</v>
      </c>
      <c r="G34" s="25"/>
    </row>
    <row r="35" spans="1:7" ht="16.5" x14ac:dyDescent="0.25">
      <c r="A35" s="107"/>
      <c r="B35" s="8" t="s">
        <v>232</v>
      </c>
      <c r="C35" s="103">
        <v>1</v>
      </c>
      <c r="D35" s="103">
        <v>3</v>
      </c>
      <c r="E35" s="103">
        <v>3</v>
      </c>
      <c r="F35" s="13" t="s">
        <v>148</v>
      </c>
      <c r="G35" s="106" t="s">
        <v>47</v>
      </c>
    </row>
    <row r="36" spans="1:7" ht="16.5" x14ac:dyDescent="0.25">
      <c r="A36" s="107"/>
      <c r="B36" s="13" t="s">
        <v>276</v>
      </c>
      <c r="C36" s="104"/>
      <c r="D36" s="104"/>
      <c r="E36" s="104"/>
      <c r="F36" s="13" t="s">
        <v>278</v>
      </c>
      <c r="G36" s="107"/>
    </row>
    <row r="37" spans="1:7" ht="17.25" thickBot="1" x14ac:dyDescent="0.3">
      <c r="A37" s="108"/>
      <c r="B37" s="28" t="s">
        <v>277</v>
      </c>
      <c r="C37" s="105"/>
      <c r="D37" s="105"/>
      <c r="E37" s="105"/>
      <c r="F37" s="25"/>
      <c r="G37" s="108"/>
    </row>
    <row r="38" spans="1:7" ht="16.5" x14ac:dyDescent="0.25">
      <c r="A38" s="106" t="s">
        <v>81</v>
      </c>
      <c r="B38" s="8" t="s">
        <v>150</v>
      </c>
      <c r="C38" s="103">
        <v>3</v>
      </c>
      <c r="D38" s="103">
        <v>3</v>
      </c>
      <c r="E38" s="103">
        <v>9</v>
      </c>
      <c r="F38" s="13" t="s">
        <v>280</v>
      </c>
      <c r="G38" s="106" t="s">
        <v>240</v>
      </c>
    </row>
    <row r="39" spans="1:7" ht="16.5" x14ac:dyDescent="0.25">
      <c r="A39" s="107"/>
      <c r="B39" s="8" t="s">
        <v>151</v>
      </c>
      <c r="C39" s="104"/>
      <c r="D39" s="104"/>
      <c r="E39" s="104"/>
      <c r="F39" s="13" t="s">
        <v>154</v>
      </c>
      <c r="G39" s="107"/>
    </row>
    <row r="40" spans="1:7" ht="17.25" thickBot="1" x14ac:dyDescent="0.3">
      <c r="A40" s="107"/>
      <c r="B40" s="16" t="s">
        <v>279</v>
      </c>
      <c r="C40" s="111"/>
      <c r="D40" s="111"/>
      <c r="E40" s="111"/>
      <c r="F40" s="16" t="s">
        <v>281</v>
      </c>
      <c r="G40" s="112"/>
    </row>
    <row r="41" spans="1:7" ht="16.5" x14ac:dyDescent="0.25">
      <c r="A41" s="107"/>
      <c r="B41" s="8" t="s">
        <v>282</v>
      </c>
      <c r="C41" s="109">
        <v>1</v>
      </c>
      <c r="D41" s="109">
        <v>4</v>
      </c>
      <c r="E41" s="109">
        <v>4</v>
      </c>
      <c r="F41" s="13" t="s">
        <v>285</v>
      </c>
      <c r="G41" s="110" t="s">
        <v>17</v>
      </c>
    </row>
    <row r="42" spans="1:7" ht="16.5" x14ac:dyDescent="0.25">
      <c r="A42" s="107"/>
      <c r="B42" s="13" t="s">
        <v>283</v>
      </c>
      <c r="C42" s="104"/>
      <c r="D42" s="104"/>
      <c r="E42" s="104"/>
      <c r="F42" s="13" t="s">
        <v>286</v>
      </c>
      <c r="G42" s="107"/>
    </row>
    <row r="43" spans="1:7" ht="17.25" thickBot="1" x14ac:dyDescent="0.3">
      <c r="A43" s="107"/>
      <c r="B43" s="16" t="s">
        <v>284</v>
      </c>
      <c r="C43" s="111"/>
      <c r="D43" s="111"/>
      <c r="E43" s="111"/>
      <c r="F43" s="17"/>
      <c r="G43" s="112"/>
    </row>
    <row r="44" spans="1:7" ht="16.5" x14ac:dyDescent="0.25">
      <c r="A44" s="107"/>
      <c r="B44" s="8" t="s">
        <v>76</v>
      </c>
      <c r="C44" s="109">
        <v>1</v>
      </c>
      <c r="D44" s="109">
        <v>4</v>
      </c>
      <c r="E44" s="109">
        <v>4</v>
      </c>
      <c r="F44" s="19" t="s">
        <v>77</v>
      </c>
      <c r="G44" s="110" t="s">
        <v>47</v>
      </c>
    </row>
    <row r="45" spans="1:7" ht="16.5" x14ac:dyDescent="0.25">
      <c r="A45" s="107"/>
      <c r="B45" s="13" t="s">
        <v>287</v>
      </c>
      <c r="C45" s="104"/>
      <c r="D45" s="104"/>
      <c r="E45" s="104"/>
      <c r="F45" s="19" t="s">
        <v>288</v>
      </c>
      <c r="G45" s="107"/>
    </row>
    <row r="46" spans="1:7" ht="17.25" thickBot="1" x14ac:dyDescent="0.3">
      <c r="A46" s="108"/>
      <c r="B46" s="16" t="s">
        <v>80</v>
      </c>
      <c r="C46" s="111"/>
      <c r="D46" s="111"/>
      <c r="E46" s="111"/>
      <c r="F46" s="17"/>
      <c r="G46" s="112"/>
    </row>
    <row r="47" spans="1:7" ht="16.5" x14ac:dyDescent="0.25">
      <c r="A47" s="106" t="s">
        <v>173</v>
      </c>
      <c r="B47" s="8" t="s">
        <v>174</v>
      </c>
      <c r="C47" s="109">
        <v>1</v>
      </c>
      <c r="D47" s="109">
        <v>4</v>
      </c>
      <c r="E47" s="109">
        <v>4</v>
      </c>
      <c r="F47" s="13" t="s">
        <v>291</v>
      </c>
      <c r="G47" s="110" t="s">
        <v>47</v>
      </c>
    </row>
    <row r="48" spans="1:7" ht="16.5" x14ac:dyDescent="0.25">
      <c r="A48" s="107"/>
      <c r="B48" s="8" t="s">
        <v>84</v>
      </c>
      <c r="C48" s="104"/>
      <c r="D48" s="104"/>
      <c r="E48" s="104"/>
      <c r="F48" s="13" t="s">
        <v>85</v>
      </c>
      <c r="G48" s="107"/>
    </row>
    <row r="49" spans="1:7" ht="16.5" x14ac:dyDescent="0.25">
      <c r="A49" s="107"/>
      <c r="B49" s="13" t="s">
        <v>289</v>
      </c>
      <c r="C49" s="104"/>
      <c r="D49" s="104"/>
      <c r="E49" s="104"/>
      <c r="F49" s="19"/>
      <c r="G49" s="107"/>
    </row>
    <row r="50" spans="1:7" ht="17.25" thickBot="1" x14ac:dyDescent="0.3">
      <c r="A50" s="107"/>
      <c r="B50" s="28" t="s">
        <v>290</v>
      </c>
      <c r="C50" s="105"/>
      <c r="D50" s="105"/>
      <c r="E50" s="105"/>
      <c r="F50" s="25"/>
      <c r="G50" s="108"/>
    </row>
    <row r="51" spans="1:7" ht="16.5" x14ac:dyDescent="0.25">
      <c r="A51" s="107"/>
      <c r="B51" s="8" t="s">
        <v>88</v>
      </c>
      <c r="C51" s="103">
        <v>2</v>
      </c>
      <c r="D51" s="103">
        <v>4</v>
      </c>
      <c r="E51" s="103">
        <v>8</v>
      </c>
      <c r="F51" s="13" t="s">
        <v>293</v>
      </c>
      <c r="G51" s="106" t="s">
        <v>47</v>
      </c>
    </row>
    <row r="52" spans="1:7" ht="16.5" x14ac:dyDescent="0.25">
      <c r="A52" s="107"/>
      <c r="B52" s="13" t="s">
        <v>292</v>
      </c>
      <c r="C52" s="104"/>
      <c r="D52" s="104"/>
      <c r="E52" s="104"/>
      <c r="F52" s="13" t="s">
        <v>91</v>
      </c>
      <c r="G52" s="107"/>
    </row>
    <row r="53" spans="1:7" ht="17.25" thickBot="1" x14ac:dyDescent="0.3">
      <c r="A53" s="107"/>
      <c r="B53" s="28" t="s">
        <v>92</v>
      </c>
      <c r="C53" s="105"/>
      <c r="D53" s="105"/>
      <c r="E53" s="105"/>
      <c r="F53" s="25"/>
      <c r="G53" s="108"/>
    </row>
    <row r="54" spans="1:7" ht="16.5" x14ac:dyDescent="0.25">
      <c r="A54" s="107"/>
      <c r="B54" s="8" t="s">
        <v>93</v>
      </c>
      <c r="C54" s="103">
        <v>1</v>
      </c>
      <c r="D54" s="103">
        <v>4</v>
      </c>
      <c r="E54" s="103">
        <v>4</v>
      </c>
      <c r="F54" s="13" t="s">
        <v>296</v>
      </c>
      <c r="G54" s="106" t="s">
        <v>183</v>
      </c>
    </row>
    <row r="55" spans="1:7" ht="16.5" x14ac:dyDescent="0.25">
      <c r="A55" s="107"/>
      <c r="B55" s="13" t="s">
        <v>294</v>
      </c>
      <c r="C55" s="104"/>
      <c r="D55" s="104"/>
      <c r="E55" s="104"/>
      <c r="F55" s="13" t="s">
        <v>97</v>
      </c>
      <c r="G55" s="107"/>
    </row>
    <row r="56" spans="1:7" ht="17.25" thickBot="1" x14ac:dyDescent="0.3">
      <c r="A56" s="108"/>
      <c r="B56" s="28" t="s">
        <v>295</v>
      </c>
      <c r="C56" s="105"/>
      <c r="D56" s="105"/>
      <c r="E56" s="105"/>
      <c r="F56" s="25"/>
      <c r="G56" s="108"/>
    </row>
    <row r="57" spans="1:7" ht="16.5" x14ac:dyDescent="0.25">
      <c r="A57" s="106" t="s">
        <v>184</v>
      </c>
      <c r="B57" s="8" t="s">
        <v>185</v>
      </c>
      <c r="C57" s="103">
        <v>1</v>
      </c>
      <c r="D57" s="103">
        <v>5</v>
      </c>
      <c r="E57" s="103">
        <v>5</v>
      </c>
      <c r="F57" s="19" t="s">
        <v>101</v>
      </c>
      <c r="G57" s="106" t="s">
        <v>102</v>
      </c>
    </row>
    <row r="58" spans="1:7" ht="16.5" x14ac:dyDescent="0.25">
      <c r="A58" s="107"/>
      <c r="B58" s="19" t="s">
        <v>103</v>
      </c>
      <c r="C58" s="104"/>
      <c r="D58" s="104"/>
      <c r="E58" s="104"/>
      <c r="F58" s="19" t="s">
        <v>104</v>
      </c>
      <c r="G58" s="107"/>
    </row>
    <row r="59" spans="1:7" ht="16.5" x14ac:dyDescent="0.25">
      <c r="A59" s="107"/>
      <c r="B59" s="19" t="s">
        <v>105</v>
      </c>
      <c r="C59" s="104"/>
      <c r="D59" s="104"/>
      <c r="E59" s="104"/>
      <c r="F59" s="19" t="s">
        <v>106</v>
      </c>
      <c r="G59" s="107"/>
    </row>
    <row r="60" spans="1:7" ht="16.5" x14ac:dyDescent="0.25">
      <c r="A60" s="107"/>
      <c r="B60" s="19" t="s">
        <v>107</v>
      </c>
      <c r="C60" s="104"/>
      <c r="D60" s="104"/>
      <c r="E60" s="104"/>
      <c r="F60" s="19" t="s">
        <v>108</v>
      </c>
      <c r="G60" s="107"/>
    </row>
    <row r="61" spans="1:7" ht="16.5" x14ac:dyDescent="0.25">
      <c r="A61" s="107"/>
      <c r="B61" s="19" t="s">
        <v>109</v>
      </c>
      <c r="C61" s="104"/>
      <c r="D61" s="104"/>
      <c r="E61" s="104"/>
      <c r="F61" s="19" t="s">
        <v>110</v>
      </c>
      <c r="G61" s="107"/>
    </row>
    <row r="62" spans="1:7" ht="16.5" x14ac:dyDescent="0.25">
      <c r="A62" s="107"/>
      <c r="B62" s="19" t="s">
        <v>111</v>
      </c>
      <c r="C62" s="104"/>
      <c r="D62" s="104"/>
      <c r="E62" s="104"/>
      <c r="F62" s="19" t="s">
        <v>112</v>
      </c>
      <c r="G62" s="107"/>
    </row>
    <row r="63" spans="1:7" ht="16.5" x14ac:dyDescent="0.25">
      <c r="A63" s="107"/>
      <c r="B63" s="19" t="s">
        <v>113</v>
      </c>
      <c r="C63" s="104"/>
      <c r="D63" s="104"/>
      <c r="E63" s="104"/>
      <c r="F63" s="19" t="s">
        <v>114</v>
      </c>
      <c r="G63" s="107"/>
    </row>
    <row r="64" spans="1:7" ht="16.5" x14ac:dyDescent="0.25">
      <c r="A64" s="107"/>
      <c r="B64" s="19" t="s">
        <v>115</v>
      </c>
      <c r="C64" s="104"/>
      <c r="D64" s="104"/>
      <c r="E64" s="104"/>
      <c r="F64" s="19" t="s">
        <v>116</v>
      </c>
      <c r="G64" s="107"/>
    </row>
    <row r="65" spans="1:7" ht="16.5" x14ac:dyDescent="0.25">
      <c r="A65" s="107"/>
      <c r="B65" s="19" t="s">
        <v>117</v>
      </c>
      <c r="C65" s="104"/>
      <c r="D65" s="104"/>
      <c r="E65" s="104"/>
      <c r="F65" s="19" t="s">
        <v>118</v>
      </c>
      <c r="G65" s="107"/>
    </row>
    <row r="66" spans="1:7" ht="16.5" x14ac:dyDescent="0.25">
      <c r="A66" s="107"/>
      <c r="B66" s="19" t="s">
        <v>119</v>
      </c>
      <c r="C66" s="104"/>
      <c r="D66" s="104"/>
      <c r="E66" s="104"/>
      <c r="F66" s="19" t="s">
        <v>120</v>
      </c>
      <c r="G66" s="107"/>
    </row>
    <row r="67" spans="1:7" ht="17.25" thickBot="1" x14ac:dyDescent="0.3">
      <c r="A67" s="108"/>
      <c r="B67" s="25"/>
      <c r="C67" s="105"/>
      <c r="D67" s="105"/>
      <c r="E67" s="105"/>
      <c r="F67" s="31"/>
      <c r="G67" s="108"/>
    </row>
    <row r="68" spans="1:7" ht="17.25" thickBot="1" x14ac:dyDescent="0.3">
      <c r="A68" s="18"/>
      <c r="B68" s="100" t="s">
        <v>121</v>
      </c>
      <c r="C68" s="101"/>
      <c r="D68" s="102"/>
      <c r="E68" s="32">
        <v>82</v>
      </c>
      <c r="F68" s="33"/>
      <c r="G68" s="34"/>
    </row>
  </sheetData>
  <mergeCells count="65">
    <mergeCell ref="A57:A67"/>
    <mergeCell ref="C57:C67"/>
    <mergeCell ref="D57:D67"/>
    <mergeCell ref="E57:E67"/>
    <mergeCell ref="G57:G67"/>
    <mergeCell ref="B68:D68"/>
    <mergeCell ref="D51:D53"/>
    <mergeCell ref="E51:E53"/>
    <mergeCell ref="G51:G53"/>
    <mergeCell ref="C54:C56"/>
    <mergeCell ref="D54:D56"/>
    <mergeCell ref="E54:E56"/>
    <mergeCell ref="G54:G56"/>
    <mergeCell ref="C44:C46"/>
    <mergeCell ref="D44:D46"/>
    <mergeCell ref="E44:E46"/>
    <mergeCell ref="G44:G46"/>
    <mergeCell ref="A47:A56"/>
    <mergeCell ref="C47:C50"/>
    <mergeCell ref="D47:D50"/>
    <mergeCell ref="E47:E50"/>
    <mergeCell ref="G47:G50"/>
    <mergeCell ref="C51:C53"/>
    <mergeCell ref="G35:G37"/>
    <mergeCell ref="A38:A46"/>
    <mergeCell ref="C38:C40"/>
    <mergeCell ref="D38:D40"/>
    <mergeCell ref="E38:E40"/>
    <mergeCell ref="G38:G40"/>
    <mergeCell ref="C41:C43"/>
    <mergeCell ref="D41:D43"/>
    <mergeCell ref="E41:E43"/>
    <mergeCell ref="G41:G43"/>
    <mergeCell ref="A10:A37"/>
    <mergeCell ref="C10:C12"/>
    <mergeCell ref="D10:D12"/>
    <mergeCell ref="E10:E12"/>
    <mergeCell ref="G10:G12"/>
    <mergeCell ref="C13:C14"/>
    <mergeCell ref="C31:C34"/>
    <mergeCell ref="D31:D34"/>
    <mergeCell ref="E31:E34"/>
    <mergeCell ref="C35:C37"/>
    <mergeCell ref="D35:D37"/>
    <mergeCell ref="E35:E37"/>
    <mergeCell ref="C15:C26"/>
    <mergeCell ref="D15:D26"/>
    <mergeCell ref="E15:E26"/>
    <mergeCell ref="G15:G26"/>
    <mergeCell ref="C27:C30"/>
    <mergeCell ref="D27:D30"/>
    <mergeCell ref="E27:E30"/>
    <mergeCell ref="G27:G30"/>
    <mergeCell ref="D13:D14"/>
    <mergeCell ref="E13:E14"/>
    <mergeCell ref="F13:F14"/>
    <mergeCell ref="G13:G14"/>
    <mergeCell ref="B1:B3"/>
    <mergeCell ref="A4:A9"/>
    <mergeCell ref="C4:C6"/>
    <mergeCell ref="D4:D6"/>
    <mergeCell ref="E4:E6"/>
    <mergeCell ref="C7:C9"/>
    <mergeCell ref="D7:D9"/>
    <mergeCell ref="E7:E9"/>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5EEB3B-23BC-4A46-848D-3558835828E3}">
  <dimension ref="A1:G65"/>
  <sheetViews>
    <sheetView topLeftCell="A31" zoomScale="85" zoomScaleNormal="85" workbookViewId="0">
      <selection activeCell="E44" sqref="E44:E64"/>
    </sheetView>
  </sheetViews>
  <sheetFormatPr defaultRowHeight="15" x14ac:dyDescent="0.25"/>
  <cols>
    <col min="1" max="1" width="7.42578125" bestFit="1" customWidth="1"/>
    <col min="2" max="2" width="144.28515625" bestFit="1" customWidth="1"/>
    <col min="3" max="3" width="11.140625" bestFit="1" customWidth="1"/>
    <col min="4" max="4" width="9" bestFit="1" customWidth="1"/>
    <col min="5" max="5" width="7.5703125" bestFit="1" customWidth="1"/>
    <col min="6" max="6" width="210.85546875" bestFit="1" customWidth="1"/>
    <col min="7" max="7" width="110.85546875" bestFit="1" customWidth="1"/>
  </cols>
  <sheetData>
    <row r="1" spans="1:7" ht="16.5" x14ac:dyDescent="0.25">
      <c r="A1" s="1" t="s">
        <v>0</v>
      </c>
      <c r="B1" s="149" t="s">
        <v>1</v>
      </c>
      <c r="C1" s="2" t="s">
        <v>2</v>
      </c>
      <c r="D1" s="2" t="s">
        <v>3</v>
      </c>
      <c r="E1" s="2" t="s">
        <v>0</v>
      </c>
      <c r="F1" s="2" t="s">
        <v>4</v>
      </c>
      <c r="G1" s="2" t="s">
        <v>5</v>
      </c>
    </row>
    <row r="2" spans="1:7" ht="16.5" x14ac:dyDescent="0.25">
      <c r="A2" s="3" t="s">
        <v>6</v>
      </c>
      <c r="B2" s="150"/>
      <c r="C2" s="4" t="s">
        <v>7</v>
      </c>
      <c r="D2" s="4" t="s">
        <v>8</v>
      </c>
      <c r="E2" s="4" t="s">
        <v>9</v>
      </c>
      <c r="F2" s="4" t="s">
        <v>10</v>
      </c>
      <c r="G2" s="4" t="s">
        <v>11</v>
      </c>
    </row>
    <row r="3" spans="1:7" ht="17.25" thickBot="1" x14ac:dyDescent="0.3">
      <c r="A3" s="5"/>
      <c r="B3" s="151"/>
      <c r="C3" s="6" t="s">
        <v>12</v>
      </c>
      <c r="D3" s="6" t="s">
        <v>12</v>
      </c>
      <c r="E3" s="6" t="s">
        <v>13</v>
      </c>
      <c r="F3" s="7"/>
      <c r="G3" s="7"/>
    </row>
    <row r="4" spans="1:7" ht="21" x14ac:dyDescent="0.25">
      <c r="A4" s="106" t="s">
        <v>14</v>
      </c>
      <c r="B4" s="8" t="s">
        <v>15</v>
      </c>
      <c r="C4" s="103">
        <v>1</v>
      </c>
      <c r="D4" s="103">
        <v>4</v>
      </c>
      <c r="E4" s="103">
        <v>4</v>
      </c>
      <c r="F4" s="9" t="s">
        <v>16</v>
      </c>
      <c r="G4" s="106" t="s">
        <v>17</v>
      </c>
    </row>
    <row r="5" spans="1:7" ht="21" x14ac:dyDescent="0.25">
      <c r="A5" s="107"/>
      <c r="B5" s="11" t="s">
        <v>18</v>
      </c>
      <c r="C5" s="104"/>
      <c r="D5" s="104"/>
      <c r="E5" s="104"/>
      <c r="F5" s="9" t="s">
        <v>19</v>
      </c>
      <c r="G5" s="107"/>
    </row>
    <row r="6" spans="1:7" ht="16.5" x14ac:dyDescent="0.25">
      <c r="A6" s="107"/>
      <c r="B6" s="13" t="s">
        <v>20</v>
      </c>
      <c r="C6" s="104"/>
      <c r="D6" s="104"/>
      <c r="E6" s="104"/>
      <c r="F6" s="14"/>
      <c r="G6" s="107"/>
    </row>
    <row r="7" spans="1:7" ht="16.5" x14ac:dyDescent="0.25">
      <c r="A7" s="107"/>
      <c r="B7" s="13" t="s">
        <v>21</v>
      </c>
      <c r="C7" s="104"/>
      <c r="D7" s="104"/>
      <c r="E7" s="104"/>
      <c r="F7" s="15"/>
      <c r="G7" s="107"/>
    </row>
    <row r="8" spans="1:7" ht="17.25" thickBot="1" x14ac:dyDescent="0.3">
      <c r="A8" s="108"/>
      <c r="B8" s="16" t="s">
        <v>22</v>
      </c>
      <c r="C8" s="111"/>
      <c r="D8" s="111"/>
      <c r="E8" s="111"/>
      <c r="F8" s="17"/>
      <c r="G8" s="112"/>
    </row>
    <row r="9" spans="1:7" ht="16.5" x14ac:dyDescent="0.25">
      <c r="A9" s="113"/>
      <c r="B9" s="8" t="s">
        <v>23</v>
      </c>
      <c r="C9" s="109">
        <v>1</v>
      </c>
      <c r="D9" s="109">
        <v>4</v>
      </c>
      <c r="E9" s="109">
        <v>3</v>
      </c>
      <c r="F9" s="13" t="s">
        <v>24</v>
      </c>
      <c r="G9" s="110" t="s">
        <v>17</v>
      </c>
    </row>
    <row r="10" spans="1:7" ht="16.5" x14ac:dyDescent="0.25">
      <c r="A10" s="114"/>
      <c r="B10" s="13" t="s">
        <v>25</v>
      </c>
      <c r="C10" s="104"/>
      <c r="D10" s="104"/>
      <c r="E10" s="104"/>
      <c r="F10" s="13" t="s">
        <v>26</v>
      </c>
      <c r="G10" s="107"/>
    </row>
    <row r="11" spans="1:7" ht="16.5" x14ac:dyDescent="0.25">
      <c r="A11" s="114"/>
      <c r="B11" s="13" t="s">
        <v>27</v>
      </c>
      <c r="C11" s="104"/>
      <c r="D11" s="104"/>
      <c r="E11" s="104"/>
      <c r="F11" s="13" t="s">
        <v>28</v>
      </c>
      <c r="G11" s="107"/>
    </row>
    <row r="12" spans="1:7" ht="17.25" thickBot="1" x14ac:dyDescent="0.3">
      <c r="A12" s="115"/>
      <c r="B12" s="16" t="s">
        <v>29</v>
      </c>
      <c r="C12" s="111"/>
      <c r="D12" s="111"/>
      <c r="E12" s="111"/>
      <c r="F12" s="17"/>
      <c r="G12" s="112"/>
    </row>
    <row r="13" spans="1:7" ht="16.5" x14ac:dyDescent="0.25">
      <c r="A13" s="152"/>
      <c r="B13" s="8" t="s">
        <v>30</v>
      </c>
      <c r="C13" s="109">
        <v>1</v>
      </c>
      <c r="D13" s="109">
        <v>3</v>
      </c>
      <c r="E13" s="109">
        <v>3</v>
      </c>
      <c r="F13" s="19" t="s">
        <v>31</v>
      </c>
      <c r="G13" s="110" t="s">
        <v>17</v>
      </c>
    </row>
    <row r="14" spans="1:7" ht="16.5" x14ac:dyDescent="0.25">
      <c r="A14" s="153"/>
      <c r="B14" s="19" t="s">
        <v>32</v>
      </c>
      <c r="C14" s="104"/>
      <c r="D14" s="104"/>
      <c r="E14" s="104"/>
      <c r="F14" s="13" t="s">
        <v>33</v>
      </c>
      <c r="G14" s="107"/>
    </row>
    <row r="15" spans="1:7" ht="17.25" thickBot="1" x14ac:dyDescent="0.3">
      <c r="A15" s="154"/>
      <c r="B15" s="20"/>
      <c r="C15" s="111"/>
      <c r="D15" s="111"/>
      <c r="E15" s="111"/>
      <c r="F15" s="17"/>
      <c r="G15" s="112"/>
    </row>
    <row r="16" spans="1:7" ht="16.5" x14ac:dyDescent="0.25">
      <c r="A16" s="106" t="s">
        <v>34</v>
      </c>
      <c r="B16" s="8" t="s">
        <v>35</v>
      </c>
      <c r="C16" s="109">
        <v>1</v>
      </c>
      <c r="D16" s="109">
        <v>4</v>
      </c>
      <c r="E16" s="109">
        <v>4</v>
      </c>
      <c r="F16" s="19" t="s">
        <v>36</v>
      </c>
      <c r="G16" s="110" t="s">
        <v>17</v>
      </c>
    </row>
    <row r="17" spans="1:7" ht="16.5" x14ac:dyDescent="0.25">
      <c r="A17" s="107"/>
      <c r="B17" s="8" t="s">
        <v>37</v>
      </c>
      <c r="C17" s="104"/>
      <c r="D17" s="104"/>
      <c r="E17" s="104"/>
      <c r="F17" s="19" t="s">
        <v>38</v>
      </c>
      <c r="G17" s="107"/>
    </row>
    <row r="18" spans="1:7" ht="17.25" thickBot="1" x14ac:dyDescent="0.3">
      <c r="A18" s="107"/>
      <c r="B18" s="21" t="s">
        <v>39</v>
      </c>
      <c r="C18" s="111"/>
      <c r="D18" s="111"/>
      <c r="E18" s="111"/>
      <c r="F18" s="17"/>
      <c r="G18" s="112"/>
    </row>
    <row r="19" spans="1:7" ht="81.75" customHeight="1" x14ac:dyDescent="0.25">
      <c r="A19" s="107"/>
      <c r="B19" s="8" t="s">
        <v>40</v>
      </c>
      <c r="C19" s="109">
        <v>1</v>
      </c>
      <c r="D19" s="109">
        <v>4</v>
      </c>
      <c r="E19" s="109">
        <v>4</v>
      </c>
      <c r="F19" s="128" t="s">
        <v>41</v>
      </c>
      <c r="G19" s="110" t="s">
        <v>17</v>
      </c>
    </row>
    <row r="20" spans="1:7" ht="17.25" thickBot="1" x14ac:dyDescent="0.3">
      <c r="A20" s="107"/>
      <c r="B20" s="21" t="s">
        <v>42</v>
      </c>
      <c r="C20" s="111"/>
      <c r="D20" s="111"/>
      <c r="E20" s="111"/>
      <c r="F20" s="129"/>
      <c r="G20" s="112"/>
    </row>
    <row r="21" spans="1:7" ht="16.5" x14ac:dyDescent="0.25">
      <c r="A21" s="107"/>
      <c r="B21" s="8" t="s">
        <v>43</v>
      </c>
      <c r="C21" s="109">
        <v>3</v>
      </c>
      <c r="D21" s="109">
        <v>3</v>
      </c>
      <c r="E21" s="109">
        <v>9</v>
      </c>
      <c r="F21" s="22" t="s">
        <v>44</v>
      </c>
      <c r="G21" s="23" t="s">
        <v>17</v>
      </c>
    </row>
    <row r="22" spans="1:7" ht="16.5" x14ac:dyDescent="0.25">
      <c r="A22" s="107"/>
      <c r="B22" s="22" t="s">
        <v>45</v>
      </c>
      <c r="C22" s="104"/>
      <c r="D22" s="104"/>
      <c r="E22" s="104"/>
      <c r="F22" s="13" t="s">
        <v>46</v>
      </c>
      <c r="G22" s="23" t="s">
        <v>47</v>
      </c>
    </row>
    <row r="23" spans="1:7" ht="17.25" thickBot="1" x14ac:dyDescent="0.3">
      <c r="A23" s="107"/>
      <c r="B23" s="24" t="s">
        <v>48</v>
      </c>
      <c r="C23" s="105"/>
      <c r="D23" s="105"/>
      <c r="E23" s="105"/>
      <c r="F23" s="25"/>
      <c r="G23" s="25"/>
    </row>
    <row r="24" spans="1:7" ht="16.5" x14ac:dyDescent="0.25">
      <c r="A24" s="107"/>
      <c r="B24" s="8" t="s">
        <v>49</v>
      </c>
      <c r="C24" s="103">
        <v>1</v>
      </c>
      <c r="D24" s="103">
        <v>4</v>
      </c>
      <c r="E24" s="103">
        <v>4</v>
      </c>
      <c r="F24" s="22" t="s">
        <v>50</v>
      </c>
      <c r="G24" s="106" t="s">
        <v>17</v>
      </c>
    </row>
    <row r="25" spans="1:7" ht="16.5" x14ac:dyDescent="0.25">
      <c r="A25" s="107"/>
      <c r="B25" s="23" t="s">
        <v>51</v>
      </c>
      <c r="C25" s="104"/>
      <c r="D25" s="104"/>
      <c r="E25" s="104"/>
      <c r="F25" s="13" t="s">
        <v>52</v>
      </c>
      <c r="G25" s="107"/>
    </row>
    <row r="26" spans="1:7" ht="17.25" thickBot="1" x14ac:dyDescent="0.3">
      <c r="A26" s="107"/>
      <c r="B26" s="26"/>
      <c r="C26" s="105"/>
      <c r="D26" s="105"/>
      <c r="E26" s="105"/>
      <c r="F26" s="25"/>
      <c r="G26" s="108"/>
    </row>
    <row r="27" spans="1:7" ht="16.5" x14ac:dyDescent="0.25">
      <c r="A27" s="107"/>
      <c r="B27" s="8" t="s">
        <v>53</v>
      </c>
      <c r="C27" s="103">
        <v>1</v>
      </c>
      <c r="D27" s="103">
        <v>4</v>
      </c>
      <c r="E27" s="103">
        <v>4</v>
      </c>
      <c r="F27" s="13" t="s">
        <v>54</v>
      </c>
      <c r="G27" s="106" t="s">
        <v>47</v>
      </c>
    </row>
    <row r="28" spans="1:7" ht="16.5" x14ac:dyDescent="0.25">
      <c r="A28" s="107"/>
      <c r="B28" s="13" t="s">
        <v>55</v>
      </c>
      <c r="C28" s="104"/>
      <c r="D28" s="104"/>
      <c r="E28" s="104"/>
      <c r="F28" s="13" t="s">
        <v>56</v>
      </c>
      <c r="G28" s="107"/>
    </row>
    <row r="29" spans="1:7" ht="16.5" x14ac:dyDescent="0.25">
      <c r="A29" s="107"/>
      <c r="B29" s="13" t="s">
        <v>57</v>
      </c>
      <c r="C29" s="104"/>
      <c r="D29" s="104"/>
      <c r="E29" s="104"/>
      <c r="F29" s="27" t="s">
        <v>58</v>
      </c>
      <c r="G29" s="107"/>
    </row>
    <row r="30" spans="1:7" ht="17.25" thickBot="1" x14ac:dyDescent="0.3">
      <c r="A30" s="107"/>
      <c r="B30" s="28" t="s">
        <v>59</v>
      </c>
      <c r="C30" s="105"/>
      <c r="D30" s="105"/>
      <c r="E30" s="105"/>
      <c r="F30" s="25"/>
      <c r="G30" s="108"/>
    </row>
    <row r="31" spans="1:7" ht="16.5" x14ac:dyDescent="0.25">
      <c r="A31" s="107"/>
      <c r="B31" s="8" t="s">
        <v>60</v>
      </c>
      <c r="C31" s="103">
        <v>1</v>
      </c>
      <c r="D31" s="103">
        <v>4</v>
      </c>
      <c r="E31" s="103">
        <v>4</v>
      </c>
      <c r="F31" s="155" t="s">
        <v>61</v>
      </c>
      <c r="G31" s="106" t="s">
        <v>47</v>
      </c>
    </row>
    <row r="32" spans="1:7" ht="16.5" x14ac:dyDescent="0.25">
      <c r="A32" s="107"/>
      <c r="B32" s="22" t="s">
        <v>62</v>
      </c>
      <c r="C32" s="104"/>
      <c r="D32" s="104"/>
      <c r="E32" s="104"/>
      <c r="F32" s="156"/>
      <c r="G32" s="107"/>
    </row>
    <row r="33" spans="1:7" ht="17.25" thickBot="1" x14ac:dyDescent="0.3">
      <c r="A33" s="108"/>
      <c r="B33" s="24" t="s">
        <v>63</v>
      </c>
      <c r="C33" s="105"/>
      <c r="D33" s="105"/>
      <c r="E33" s="105"/>
      <c r="F33" s="157"/>
      <c r="G33" s="108"/>
    </row>
    <row r="34" spans="1:7" ht="16.5" x14ac:dyDescent="0.25">
      <c r="A34" s="106" t="s">
        <v>34</v>
      </c>
      <c r="B34" s="8" t="s">
        <v>64</v>
      </c>
      <c r="C34" s="103">
        <v>2</v>
      </c>
      <c r="D34" s="103">
        <v>4</v>
      </c>
      <c r="E34" s="103">
        <v>4</v>
      </c>
      <c r="F34" s="22" t="s">
        <v>65</v>
      </c>
      <c r="G34" s="106" t="s">
        <v>66</v>
      </c>
    </row>
    <row r="35" spans="1:7" ht="16.5" x14ac:dyDescent="0.25">
      <c r="A35" s="107"/>
      <c r="B35" s="8" t="s">
        <v>67</v>
      </c>
      <c r="C35" s="104"/>
      <c r="D35" s="104"/>
      <c r="E35" s="104"/>
      <c r="F35" s="27" t="s">
        <v>68</v>
      </c>
      <c r="G35" s="107"/>
    </row>
    <row r="36" spans="1:7" ht="33" x14ac:dyDescent="0.25">
      <c r="A36" s="107"/>
      <c r="B36" s="22" t="s">
        <v>69</v>
      </c>
      <c r="C36" s="104"/>
      <c r="D36" s="104"/>
      <c r="E36" s="104"/>
      <c r="F36" s="15"/>
      <c r="G36" s="107"/>
    </row>
    <row r="37" spans="1:7" ht="33.75" thickBot="1" x14ac:dyDescent="0.3">
      <c r="A37" s="107"/>
      <c r="B37" s="29" t="s">
        <v>70</v>
      </c>
      <c r="C37" s="111"/>
      <c r="D37" s="111"/>
      <c r="E37" s="111"/>
      <c r="F37" s="17"/>
      <c r="G37" s="112"/>
    </row>
    <row r="38" spans="1:7" ht="16.5" x14ac:dyDescent="0.25">
      <c r="A38" s="107"/>
      <c r="B38" s="8" t="s">
        <v>71</v>
      </c>
      <c r="C38" s="109">
        <v>2</v>
      </c>
      <c r="D38" s="109">
        <v>4</v>
      </c>
      <c r="E38" s="109">
        <v>8</v>
      </c>
      <c r="F38" s="13" t="s">
        <v>72</v>
      </c>
      <c r="G38" s="110" t="s">
        <v>17</v>
      </c>
    </row>
    <row r="39" spans="1:7" ht="16.5" x14ac:dyDescent="0.25">
      <c r="A39" s="107"/>
      <c r="B39" s="22" t="s">
        <v>73</v>
      </c>
      <c r="C39" s="104"/>
      <c r="D39" s="104"/>
      <c r="E39" s="104"/>
      <c r="F39" s="13" t="s">
        <v>74</v>
      </c>
      <c r="G39" s="107"/>
    </row>
    <row r="40" spans="1:7" ht="17.25" thickBot="1" x14ac:dyDescent="0.3">
      <c r="A40" s="107"/>
      <c r="B40" s="16" t="s">
        <v>75</v>
      </c>
      <c r="C40" s="111"/>
      <c r="D40" s="111"/>
      <c r="E40" s="111"/>
      <c r="F40" s="17"/>
      <c r="G40" s="112"/>
    </row>
    <row r="41" spans="1:7" ht="16.5" x14ac:dyDescent="0.25">
      <c r="A41" s="107"/>
      <c r="B41" s="8" t="s">
        <v>76</v>
      </c>
      <c r="C41" s="109">
        <v>1</v>
      </c>
      <c r="D41" s="109">
        <v>4</v>
      </c>
      <c r="E41" s="109">
        <v>4</v>
      </c>
      <c r="F41" s="19" t="s">
        <v>77</v>
      </c>
      <c r="G41" s="110" t="s">
        <v>47</v>
      </c>
    </row>
    <row r="42" spans="1:7" ht="16.5" x14ac:dyDescent="0.25">
      <c r="A42" s="107"/>
      <c r="B42" s="22" t="s">
        <v>78</v>
      </c>
      <c r="C42" s="104"/>
      <c r="D42" s="104"/>
      <c r="E42" s="104"/>
      <c r="F42" s="19" t="s">
        <v>79</v>
      </c>
      <c r="G42" s="107"/>
    </row>
    <row r="43" spans="1:7" ht="17.25" thickBot="1" x14ac:dyDescent="0.3">
      <c r="A43" s="108"/>
      <c r="B43" s="29" t="s">
        <v>80</v>
      </c>
      <c r="C43" s="111"/>
      <c r="D43" s="111"/>
      <c r="E43" s="111"/>
      <c r="F43" s="17"/>
      <c r="G43" s="112"/>
    </row>
    <row r="44" spans="1:7" ht="16.5" x14ac:dyDescent="0.25">
      <c r="A44" s="106" t="s">
        <v>81</v>
      </c>
      <c r="B44" s="8" t="s">
        <v>82</v>
      </c>
      <c r="C44" s="109">
        <v>1</v>
      </c>
      <c r="D44" s="109">
        <v>4</v>
      </c>
      <c r="E44" s="109">
        <v>4</v>
      </c>
      <c r="F44" s="13" t="s">
        <v>83</v>
      </c>
      <c r="G44" s="110" t="s">
        <v>47</v>
      </c>
    </row>
    <row r="45" spans="1:7" ht="16.5" x14ac:dyDescent="0.25">
      <c r="A45" s="107"/>
      <c r="B45" s="8" t="s">
        <v>84</v>
      </c>
      <c r="C45" s="104"/>
      <c r="D45" s="104"/>
      <c r="E45" s="104"/>
      <c r="F45" s="13" t="s">
        <v>85</v>
      </c>
      <c r="G45" s="107"/>
    </row>
    <row r="46" spans="1:7" ht="16.5" x14ac:dyDescent="0.25">
      <c r="A46" s="107"/>
      <c r="B46" s="13" t="s">
        <v>86</v>
      </c>
      <c r="C46" s="104"/>
      <c r="D46" s="104"/>
      <c r="E46" s="104"/>
      <c r="F46" s="19"/>
      <c r="G46" s="107"/>
    </row>
    <row r="47" spans="1:7" ht="17.25" thickBot="1" x14ac:dyDescent="0.3">
      <c r="A47" s="107"/>
      <c r="B47" s="28" t="s">
        <v>87</v>
      </c>
      <c r="C47" s="105"/>
      <c r="D47" s="105"/>
      <c r="E47" s="105"/>
      <c r="F47" s="25"/>
      <c r="G47" s="108"/>
    </row>
    <row r="48" spans="1:7" ht="16.5" x14ac:dyDescent="0.25">
      <c r="A48" s="107"/>
      <c r="B48" s="8" t="s">
        <v>88</v>
      </c>
      <c r="C48" s="103">
        <v>2</v>
      </c>
      <c r="D48" s="103">
        <v>4</v>
      </c>
      <c r="E48" s="103">
        <v>8</v>
      </c>
      <c r="F48" s="13" t="s">
        <v>89</v>
      </c>
      <c r="G48" s="106" t="s">
        <v>47</v>
      </c>
    </row>
    <row r="49" spans="1:7" ht="16.5" x14ac:dyDescent="0.25">
      <c r="A49" s="107"/>
      <c r="B49" s="13" t="s">
        <v>90</v>
      </c>
      <c r="C49" s="104"/>
      <c r="D49" s="104"/>
      <c r="E49" s="104"/>
      <c r="F49" s="13" t="s">
        <v>91</v>
      </c>
      <c r="G49" s="107"/>
    </row>
    <row r="50" spans="1:7" ht="17.25" thickBot="1" x14ac:dyDescent="0.3">
      <c r="A50" s="107"/>
      <c r="B50" s="28" t="s">
        <v>92</v>
      </c>
      <c r="C50" s="105"/>
      <c r="D50" s="105"/>
      <c r="E50" s="105"/>
      <c r="F50" s="25"/>
      <c r="G50" s="108"/>
    </row>
    <row r="51" spans="1:7" ht="16.5" x14ac:dyDescent="0.25">
      <c r="A51" s="107"/>
      <c r="B51" s="8" t="s">
        <v>93</v>
      </c>
      <c r="C51" s="103">
        <v>1</v>
      </c>
      <c r="D51" s="103">
        <v>3</v>
      </c>
      <c r="E51" s="103">
        <v>3</v>
      </c>
      <c r="F51" s="13" t="s">
        <v>94</v>
      </c>
      <c r="G51" s="106" t="s">
        <v>95</v>
      </c>
    </row>
    <row r="52" spans="1:7" ht="16.5" x14ac:dyDescent="0.25">
      <c r="A52" s="107"/>
      <c r="B52" s="13" t="s">
        <v>96</v>
      </c>
      <c r="C52" s="104"/>
      <c r="D52" s="104"/>
      <c r="E52" s="104"/>
      <c r="F52" s="13" t="s">
        <v>97</v>
      </c>
      <c r="G52" s="107"/>
    </row>
    <row r="53" spans="1:7" ht="17.25" thickBot="1" x14ac:dyDescent="0.3">
      <c r="A53" s="108"/>
      <c r="B53" s="28" t="s">
        <v>98</v>
      </c>
      <c r="C53" s="105"/>
      <c r="D53" s="105"/>
      <c r="E53" s="105"/>
      <c r="F53" s="25"/>
      <c r="G53" s="108"/>
    </row>
    <row r="54" spans="1:7" ht="16.5" x14ac:dyDescent="0.25">
      <c r="A54" s="106" t="s">
        <v>99</v>
      </c>
      <c r="B54" s="30" t="s">
        <v>100</v>
      </c>
      <c r="C54" s="103">
        <v>1</v>
      </c>
      <c r="D54" s="103">
        <v>4</v>
      </c>
      <c r="E54" s="103">
        <v>4</v>
      </c>
      <c r="F54" s="19" t="s">
        <v>101</v>
      </c>
      <c r="G54" s="106" t="s">
        <v>102</v>
      </c>
    </row>
    <row r="55" spans="1:7" ht="16.5" x14ac:dyDescent="0.25">
      <c r="A55" s="107"/>
      <c r="B55" s="19" t="s">
        <v>103</v>
      </c>
      <c r="C55" s="104"/>
      <c r="D55" s="104"/>
      <c r="E55" s="104"/>
      <c r="F55" s="19" t="s">
        <v>104</v>
      </c>
      <c r="G55" s="107"/>
    </row>
    <row r="56" spans="1:7" ht="16.5" x14ac:dyDescent="0.25">
      <c r="A56" s="107"/>
      <c r="B56" s="19" t="s">
        <v>105</v>
      </c>
      <c r="C56" s="104"/>
      <c r="D56" s="104"/>
      <c r="E56" s="104"/>
      <c r="F56" s="19" t="s">
        <v>106</v>
      </c>
      <c r="G56" s="107"/>
    </row>
    <row r="57" spans="1:7" ht="16.5" x14ac:dyDescent="0.25">
      <c r="A57" s="107"/>
      <c r="B57" s="19" t="s">
        <v>107</v>
      </c>
      <c r="C57" s="104"/>
      <c r="D57" s="104"/>
      <c r="E57" s="104"/>
      <c r="F57" s="19" t="s">
        <v>108</v>
      </c>
      <c r="G57" s="107"/>
    </row>
    <row r="58" spans="1:7" ht="16.5" x14ac:dyDescent="0.25">
      <c r="A58" s="107"/>
      <c r="B58" s="19" t="s">
        <v>109</v>
      </c>
      <c r="C58" s="104"/>
      <c r="D58" s="104"/>
      <c r="E58" s="104"/>
      <c r="F58" s="19" t="s">
        <v>110</v>
      </c>
      <c r="G58" s="107"/>
    </row>
    <row r="59" spans="1:7" ht="16.5" x14ac:dyDescent="0.25">
      <c r="A59" s="107"/>
      <c r="B59" s="19" t="s">
        <v>111</v>
      </c>
      <c r="C59" s="104"/>
      <c r="D59" s="104"/>
      <c r="E59" s="104"/>
      <c r="F59" s="19" t="s">
        <v>112</v>
      </c>
      <c r="G59" s="107"/>
    </row>
    <row r="60" spans="1:7" ht="16.5" x14ac:dyDescent="0.25">
      <c r="A60" s="107"/>
      <c r="B60" s="19" t="s">
        <v>113</v>
      </c>
      <c r="C60" s="104"/>
      <c r="D60" s="104"/>
      <c r="E60" s="104"/>
      <c r="F60" s="19" t="s">
        <v>114</v>
      </c>
      <c r="G60" s="107"/>
    </row>
    <row r="61" spans="1:7" ht="16.5" x14ac:dyDescent="0.25">
      <c r="A61" s="107"/>
      <c r="B61" s="19" t="s">
        <v>115</v>
      </c>
      <c r="C61" s="104"/>
      <c r="D61" s="104"/>
      <c r="E61" s="104"/>
      <c r="F61" s="19" t="s">
        <v>116</v>
      </c>
      <c r="G61" s="107"/>
    </row>
    <row r="62" spans="1:7" ht="16.5" x14ac:dyDescent="0.25">
      <c r="A62" s="107"/>
      <c r="B62" s="19" t="s">
        <v>117</v>
      </c>
      <c r="C62" s="104"/>
      <c r="D62" s="104"/>
      <c r="E62" s="104"/>
      <c r="F62" s="19" t="s">
        <v>118</v>
      </c>
      <c r="G62" s="107"/>
    </row>
    <row r="63" spans="1:7" ht="16.5" x14ac:dyDescent="0.25">
      <c r="A63" s="107"/>
      <c r="B63" s="19" t="s">
        <v>119</v>
      </c>
      <c r="C63" s="104"/>
      <c r="D63" s="104"/>
      <c r="E63" s="104"/>
      <c r="F63" s="19" t="s">
        <v>120</v>
      </c>
      <c r="G63" s="107"/>
    </row>
    <row r="64" spans="1:7" ht="17.25" thickBot="1" x14ac:dyDescent="0.3">
      <c r="A64" s="108"/>
      <c r="B64" s="25"/>
      <c r="C64" s="105"/>
      <c r="D64" s="105"/>
      <c r="E64" s="105"/>
      <c r="F64" s="31"/>
      <c r="G64" s="108"/>
    </row>
    <row r="65" spans="1:7" ht="17.25" thickBot="1" x14ac:dyDescent="0.3">
      <c r="A65" s="18"/>
      <c r="B65" s="100" t="s">
        <v>121</v>
      </c>
      <c r="C65" s="101"/>
      <c r="D65" s="102"/>
      <c r="E65" s="32">
        <v>74</v>
      </c>
      <c r="F65" s="33"/>
      <c r="G65" s="34"/>
    </row>
  </sheetData>
  <mergeCells count="74">
    <mergeCell ref="A54:A64"/>
    <mergeCell ref="C54:C64"/>
    <mergeCell ref="D54:D64"/>
    <mergeCell ref="E54:E64"/>
    <mergeCell ref="G54:G64"/>
    <mergeCell ref="B65:D65"/>
    <mergeCell ref="E48:E50"/>
    <mergeCell ref="G48:G50"/>
    <mergeCell ref="C51:C53"/>
    <mergeCell ref="D51:D53"/>
    <mergeCell ref="E51:E53"/>
    <mergeCell ref="G51:G53"/>
    <mergeCell ref="G41:G43"/>
    <mergeCell ref="A44:A53"/>
    <mergeCell ref="C44:C47"/>
    <mergeCell ref="D44:D47"/>
    <mergeCell ref="E44:E47"/>
    <mergeCell ref="G44:G47"/>
    <mergeCell ref="C48:C50"/>
    <mergeCell ref="D48:D50"/>
    <mergeCell ref="A34:A43"/>
    <mergeCell ref="C34:C37"/>
    <mergeCell ref="D34:D37"/>
    <mergeCell ref="E34:E37"/>
    <mergeCell ref="G34:G37"/>
    <mergeCell ref="C38:C40"/>
    <mergeCell ref="D38:D40"/>
    <mergeCell ref="E38:E40"/>
    <mergeCell ref="G38:G40"/>
    <mergeCell ref="C41:C43"/>
    <mergeCell ref="G24:G26"/>
    <mergeCell ref="C27:C30"/>
    <mergeCell ref="D27:D30"/>
    <mergeCell ref="E27:E30"/>
    <mergeCell ref="G27:G30"/>
    <mergeCell ref="C31:C33"/>
    <mergeCell ref="D31:D33"/>
    <mergeCell ref="E31:E33"/>
    <mergeCell ref="F31:F33"/>
    <mergeCell ref="G31:G33"/>
    <mergeCell ref="D41:D43"/>
    <mergeCell ref="E41:E43"/>
    <mergeCell ref="A16:A33"/>
    <mergeCell ref="C16:C18"/>
    <mergeCell ref="D16:D18"/>
    <mergeCell ref="E16:E18"/>
    <mergeCell ref="G16:G18"/>
    <mergeCell ref="C19:C20"/>
    <mergeCell ref="D19:D20"/>
    <mergeCell ref="E19:E20"/>
    <mergeCell ref="F19:F20"/>
    <mergeCell ref="G19:G20"/>
    <mergeCell ref="C21:C23"/>
    <mergeCell ref="D21:D23"/>
    <mergeCell ref="E21:E23"/>
    <mergeCell ref="C24:C26"/>
    <mergeCell ref="D24:D26"/>
    <mergeCell ref="E24:E26"/>
    <mergeCell ref="A9:A12"/>
    <mergeCell ref="C9:C12"/>
    <mergeCell ref="D9:D12"/>
    <mergeCell ref="E9:E12"/>
    <mergeCell ref="G9:G12"/>
    <mergeCell ref="A13:A15"/>
    <mergeCell ref="C13:C15"/>
    <mergeCell ref="D13:D15"/>
    <mergeCell ref="E13:E15"/>
    <mergeCell ref="G13:G15"/>
    <mergeCell ref="G4:G8"/>
    <mergeCell ref="B1:B3"/>
    <mergeCell ref="A4:A8"/>
    <mergeCell ref="C4:C8"/>
    <mergeCell ref="D4:D8"/>
    <mergeCell ref="E4:E8"/>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714144-6054-4B4D-9681-F41F2040E7BE}">
  <dimension ref="A1:G61"/>
  <sheetViews>
    <sheetView topLeftCell="A26" zoomScale="70" zoomScaleNormal="70" workbookViewId="0">
      <selection activeCell="B68" sqref="B68"/>
    </sheetView>
  </sheetViews>
  <sheetFormatPr defaultRowHeight="15" x14ac:dyDescent="0.25"/>
  <cols>
    <col min="1" max="1" width="6.85546875" bestFit="1" customWidth="1"/>
    <col min="2" max="2" width="152.28515625" bestFit="1" customWidth="1"/>
    <col min="3" max="3" width="12.7109375" bestFit="1" customWidth="1"/>
    <col min="4" max="4" width="10.140625" bestFit="1" customWidth="1"/>
    <col min="5" max="5" width="8.42578125" bestFit="1" customWidth="1"/>
    <col min="6" max="6" width="211.5703125" bestFit="1" customWidth="1"/>
    <col min="7" max="7" width="111.5703125" bestFit="1" customWidth="1"/>
  </cols>
  <sheetData>
    <row r="1" spans="1:7" ht="16.5" x14ac:dyDescent="0.25">
      <c r="A1" s="35" t="s">
        <v>0</v>
      </c>
      <c r="B1" s="146" t="s">
        <v>1</v>
      </c>
      <c r="C1" s="36" t="s">
        <v>2</v>
      </c>
      <c r="D1" s="36" t="s">
        <v>3</v>
      </c>
      <c r="E1" s="36" t="s">
        <v>0</v>
      </c>
      <c r="F1" s="36" t="s">
        <v>4</v>
      </c>
      <c r="G1" s="36" t="s">
        <v>5</v>
      </c>
    </row>
    <row r="2" spans="1:7" ht="16.5" x14ac:dyDescent="0.25">
      <c r="A2" s="37" t="s">
        <v>6</v>
      </c>
      <c r="B2" s="147"/>
      <c r="C2" s="38" t="s">
        <v>7</v>
      </c>
      <c r="D2" s="38" t="s">
        <v>8</v>
      </c>
      <c r="E2" s="38" t="s">
        <v>9</v>
      </c>
      <c r="F2" s="38" t="s">
        <v>10</v>
      </c>
      <c r="G2" s="38" t="s">
        <v>11</v>
      </c>
    </row>
    <row r="3" spans="1:7" ht="17.25" thickBot="1" x14ac:dyDescent="0.3">
      <c r="A3" s="39"/>
      <c r="B3" s="148"/>
      <c r="C3" s="40" t="s">
        <v>12</v>
      </c>
      <c r="D3" s="40" t="s">
        <v>12</v>
      </c>
      <c r="E3" s="40" t="s">
        <v>13</v>
      </c>
      <c r="F3" s="41"/>
      <c r="G3" s="41"/>
    </row>
    <row r="4" spans="1:7" ht="21" x14ac:dyDescent="0.25">
      <c r="A4" s="106" t="s">
        <v>14</v>
      </c>
      <c r="B4" s="8" t="s">
        <v>15</v>
      </c>
      <c r="C4" s="103">
        <v>2</v>
      </c>
      <c r="D4" s="103">
        <v>2</v>
      </c>
      <c r="E4" s="103">
        <v>4</v>
      </c>
      <c r="F4" s="9" t="s">
        <v>124</v>
      </c>
      <c r="G4" s="23" t="s">
        <v>17</v>
      </c>
    </row>
    <row r="5" spans="1:7" ht="21" x14ac:dyDescent="0.25">
      <c r="A5" s="107"/>
      <c r="B5" s="8" t="s">
        <v>122</v>
      </c>
      <c r="C5" s="104"/>
      <c r="D5" s="104"/>
      <c r="E5" s="104"/>
      <c r="F5" s="9" t="s">
        <v>125</v>
      </c>
      <c r="G5" s="23" t="s">
        <v>47</v>
      </c>
    </row>
    <row r="6" spans="1:7" ht="21.75" thickBot="1" x14ac:dyDescent="0.3">
      <c r="A6" s="107"/>
      <c r="B6" s="16" t="s">
        <v>123</v>
      </c>
      <c r="C6" s="111"/>
      <c r="D6" s="111"/>
      <c r="E6" s="111"/>
      <c r="F6" s="42" t="s">
        <v>126</v>
      </c>
      <c r="G6" s="17"/>
    </row>
    <row r="7" spans="1:7" ht="21" x14ac:dyDescent="0.25">
      <c r="A7" s="107"/>
      <c r="B7" s="8" t="s">
        <v>127</v>
      </c>
      <c r="C7" s="109">
        <v>2</v>
      </c>
      <c r="D7" s="109">
        <v>2</v>
      </c>
      <c r="E7" s="109">
        <v>4</v>
      </c>
      <c r="F7" s="9" t="s">
        <v>124</v>
      </c>
      <c r="G7" s="23" t="s">
        <v>17</v>
      </c>
    </row>
    <row r="8" spans="1:7" ht="21" x14ac:dyDescent="0.25">
      <c r="A8" s="107"/>
      <c r="B8" s="13" t="s">
        <v>128</v>
      </c>
      <c r="C8" s="104"/>
      <c r="D8" s="104"/>
      <c r="E8" s="104"/>
      <c r="F8" s="9" t="s">
        <v>125</v>
      </c>
      <c r="G8" s="23" t="s">
        <v>47</v>
      </c>
    </row>
    <row r="9" spans="1:7" ht="21.75" thickBot="1" x14ac:dyDescent="0.3">
      <c r="A9" s="108"/>
      <c r="B9" s="20"/>
      <c r="C9" s="111"/>
      <c r="D9" s="111"/>
      <c r="E9" s="111"/>
      <c r="F9" s="42" t="s">
        <v>129</v>
      </c>
      <c r="G9" s="17"/>
    </row>
    <row r="10" spans="1:7" ht="16.5" x14ac:dyDescent="0.25">
      <c r="A10" s="106" t="s">
        <v>34</v>
      </c>
      <c r="B10" s="8" t="s">
        <v>35</v>
      </c>
      <c r="C10" s="109">
        <v>1</v>
      </c>
      <c r="D10" s="109">
        <v>4</v>
      </c>
      <c r="E10" s="109">
        <v>4</v>
      </c>
      <c r="F10" s="19" t="s">
        <v>130</v>
      </c>
      <c r="G10" s="110" t="s">
        <v>17</v>
      </c>
    </row>
    <row r="11" spans="1:7" ht="16.5" x14ac:dyDescent="0.25">
      <c r="A11" s="107"/>
      <c r="B11" s="8" t="s">
        <v>37</v>
      </c>
      <c r="C11" s="104"/>
      <c r="D11" s="104"/>
      <c r="E11" s="104"/>
      <c r="F11" s="19" t="s">
        <v>131</v>
      </c>
      <c r="G11" s="107"/>
    </row>
    <row r="12" spans="1:7" ht="17.25" thickBot="1" x14ac:dyDescent="0.3">
      <c r="A12" s="107"/>
      <c r="B12" s="23" t="s">
        <v>39</v>
      </c>
      <c r="C12" s="104"/>
      <c r="D12" s="104"/>
      <c r="E12" s="104"/>
      <c r="F12" s="15"/>
      <c r="G12" s="107"/>
    </row>
    <row r="13" spans="1:7" ht="16.5" x14ac:dyDescent="0.25">
      <c r="A13" s="113"/>
      <c r="B13" s="8" t="s">
        <v>40</v>
      </c>
      <c r="C13" s="109">
        <v>1</v>
      </c>
      <c r="D13" s="109">
        <v>4</v>
      </c>
      <c r="E13" s="109">
        <v>4</v>
      </c>
      <c r="F13" s="116" t="s">
        <v>132</v>
      </c>
      <c r="G13" s="110" t="s">
        <v>17</v>
      </c>
    </row>
    <row r="14" spans="1:7" ht="17.25" thickBot="1" x14ac:dyDescent="0.3">
      <c r="A14" s="115"/>
      <c r="B14" s="21" t="s">
        <v>42</v>
      </c>
      <c r="C14" s="111"/>
      <c r="D14" s="111"/>
      <c r="E14" s="111"/>
      <c r="F14" s="119"/>
      <c r="G14" s="112"/>
    </row>
    <row r="15" spans="1:7" ht="16.5" x14ac:dyDescent="0.25">
      <c r="A15" s="113"/>
      <c r="B15" s="8" t="s">
        <v>133</v>
      </c>
      <c r="C15" s="109">
        <v>1</v>
      </c>
      <c r="D15" s="109">
        <v>4</v>
      </c>
      <c r="E15" s="109">
        <v>4</v>
      </c>
      <c r="F15" s="19" t="s">
        <v>135</v>
      </c>
      <c r="G15" s="110" t="s">
        <v>17</v>
      </c>
    </row>
    <row r="16" spans="1:7" ht="17.25" thickBot="1" x14ac:dyDescent="0.3">
      <c r="A16" s="114"/>
      <c r="B16" s="13" t="s">
        <v>134</v>
      </c>
      <c r="C16" s="104"/>
      <c r="D16" s="104"/>
      <c r="E16" s="104"/>
      <c r="F16" s="13" t="s">
        <v>136</v>
      </c>
      <c r="G16" s="107"/>
    </row>
    <row r="17" spans="1:7" ht="16.5" x14ac:dyDescent="0.25">
      <c r="A17" s="113"/>
      <c r="B17" s="8" t="s">
        <v>137</v>
      </c>
      <c r="C17" s="109">
        <v>2</v>
      </c>
      <c r="D17" s="109">
        <v>4</v>
      </c>
      <c r="E17" s="109">
        <v>8</v>
      </c>
      <c r="F17" s="13" t="s">
        <v>54</v>
      </c>
      <c r="G17" s="110" t="s">
        <v>47</v>
      </c>
    </row>
    <row r="18" spans="1:7" ht="16.5" x14ac:dyDescent="0.25">
      <c r="A18" s="114"/>
      <c r="B18" s="13" t="s">
        <v>55</v>
      </c>
      <c r="C18" s="104"/>
      <c r="D18" s="104"/>
      <c r="E18" s="104"/>
      <c r="F18" s="13" t="s">
        <v>56</v>
      </c>
      <c r="G18" s="107"/>
    </row>
    <row r="19" spans="1:7" ht="16.5" x14ac:dyDescent="0.25">
      <c r="A19" s="114"/>
      <c r="B19" s="13" t="s">
        <v>57</v>
      </c>
      <c r="C19" s="104"/>
      <c r="D19" s="104"/>
      <c r="E19" s="104"/>
      <c r="F19" s="13" t="s">
        <v>139</v>
      </c>
      <c r="G19" s="107"/>
    </row>
    <row r="20" spans="1:7" ht="17.25" thickBot="1" x14ac:dyDescent="0.3">
      <c r="A20" s="114"/>
      <c r="B20" s="16" t="s">
        <v>138</v>
      </c>
      <c r="C20" s="111"/>
      <c r="D20" s="111"/>
      <c r="E20" s="111"/>
      <c r="F20" s="17"/>
      <c r="G20" s="112"/>
    </row>
    <row r="21" spans="1:7" ht="16.5" x14ac:dyDescent="0.25">
      <c r="A21" s="114"/>
      <c r="B21" s="8" t="s">
        <v>140</v>
      </c>
      <c r="C21" s="109">
        <v>3</v>
      </c>
      <c r="D21" s="109">
        <v>4</v>
      </c>
      <c r="E21" s="109">
        <v>12</v>
      </c>
      <c r="F21" s="13" t="s">
        <v>143</v>
      </c>
      <c r="G21" s="23" t="s">
        <v>17</v>
      </c>
    </row>
    <row r="22" spans="1:7" ht="16.5" x14ac:dyDescent="0.25">
      <c r="A22" s="114"/>
      <c r="B22" s="13" t="s">
        <v>141</v>
      </c>
      <c r="C22" s="104"/>
      <c r="D22" s="104"/>
      <c r="E22" s="104"/>
      <c r="F22" s="13" t="s">
        <v>144</v>
      </c>
      <c r="G22" s="23" t="s">
        <v>47</v>
      </c>
    </row>
    <row r="23" spans="1:7" ht="17.25" thickBot="1" x14ac:dyDescent="0.3">
      <c r="A23" s="114"/>
      <c r="B23" s="28" t="s">
        <v>142</v>
      </c>
      <c r="C23" s="105"/>
      <c r="D23" s="105"/>
      <c r="E23" s="105"/>
      <c r="F23" s="28" t="s">
        <v>145</v>
      </c>
      <c r="G23" s="25"/>
    </row>
    <row r="24" spans="1:7" ht="16.5" x14ac:dyDescent="0.25">
      <c r="A24" s="114"/>
      <c r="B24" s="8" t="s">
        <v>60</v>
      </c>
      <c r="C24" s="103">
        <v>1</v>
      </c>
      <c r="D24" s="103">
        <v>4</v>
      </c>
      <c r="E24" s="103">
        <v>4</v>
      </c>
      <c r="F24" s="13" t="s">
        <v>148</v>
      </c>
      <c r="G24" s="106" t="s">
        <v>47</v>
      </c>
    </row>
    <row r="25" spans="1:7" ht="16.5" x14ac:dyDescent="0.25">
      <c r="A25" s="114"/>
      <c r="B25" s="13" t="s">
        <v>146</v>
      </c>
      <c r="C25" s="104"/>
      <c r="D25" s="104"/>
      <c r="E25" s="104"/>
      <c r="F25" s="13" t="s">
        <v>149</v>
      </c>
      <c r="G25" s="107"/>
    </row>
    <row r="26" spans="1:7" ht="17.25" thickBot="1" x14ac:dyDescent="0.3">
      <c r="A26" s="115"/>
      <c r="B26" s="28" t="s">
        <v>147</v>
      </c>
      <c r="C26" s="105"/>
      <c r="D26" s="105"/>
      <c r="E26" s="105"/>
      <c r="F26" s="25"/>
      <c r="G26" s="108"/>
    </row>
    <row r="27" spans="1:7" ht="16.5" x14ac:dyDescent="0.25">
      <c r="A27" s="106" t="s">
        <v>81</v>
      </c>
      <c r="B27" s="8" t="s">
        <v>150</v>
      </c>
      <c r="C27" s="103">
        <v>2</v>
      </c>
      <c r="D27" s="103">
        <v>3</v>
      </c>
      <c r="E27" s="103">
        <v>6</v>
      </c>
      <c r="F27" s="13" t="s">
        <v>153</v>
      </c>
      <c r="G27" s="106" t="s">
        <v>156</v>
      </c>
    </row>
    <row r="28" spans="1:7" ht="16.5" x14ac:dyDescent="0.25">
      <c r="A28" s="107"/>
      <c r="B28" s="8" t="s">
        <v>151</v>
      </c>
      <c r="C28" s="104"/>
      <c r="D28" s="104"/>
      <c r="E28" s="104"/>
      <c r="F28" s="13" t="s">
        <v>154</v>
      </c>
      <c r="G28" s="107"/>
    </row>
    <row r="29" spans="1:7" ht="17.25" thickBot="1" x14ac:dyDescent="0.3">
      <c r="A29" s="107"/>
      <c r="B29" s="16" t="s">
        <v>152</v>
      </c>
      <c r="C29" s="111"/>
      <c r="D29" s="111"/>
      <c r="E29" s="111"/>
      <c r="F29" s="16" t="s">
        <v>155</v>
      </c>
      <c r="G29" s="112"/>
    </row>
    <row r="30" spans="1:7" ht="16.5" x14ac:dyDescent="0.25">
      <c r="A30" s="107"/>
      <c r="B30" s="8" t="s">
        <v>157</v>
      </c>
      <c r="C30" s="109">
        <v>1</v>
      </c>
      <c r="D30" s="109">
        <v>3</v>
      </c>
      <c r="E30" s="109">
        <v>3</v>
      </c>
      <c r="F30" s="13" t="s">
        <v>159</v>
      </c>
      <c r="G30" s="110" t="s">
        <v>47</v>
      </c>
    </row>
    <row r="31" spans="1:7" ht="17.25" thickBot="1" x14ac:dyDescent="0.3">
      <c r="A31" s="107"/>
      <c r="B31" s="16" t="s">
        <v>158</v>
      </c>
      <c r="C31" s="111"/>
      <c r="D31" s="111"/>
      <c r="E31" s="111"/>
      <c r="F31" s="16" t="s">
        <v>160</v>
      </c>
      <c r="G31" s="112"/>
    </row>
    <row r="32" spans="1:7" ht="16.5" x14ac:dyDescent="0.25">
      <c r="A32" s="107"/>
      <c r="B32" s="8" t="s">
        <v>161</v>
      </c>
      <c r="C32" s="109">
        <v>1</v>
      </c>
      <c r="D32" s="109">
        <v>3</v>
      </c>
      <c r="E32" s="109">
        <v>3</v>
      </c>
      <c r="F32" s="13" t="s">
        <v>163</v>
      </c>
      <c r="G32" s="110" t="s">
        <v>47</v>
      </c>
    </row>
    <row r="33" spans="1:7" ht="17.25" thickBot="1" x14ac:dyDescent="0.3">
      <c r="A33" s="107"/>
      <c r="B33" s="16" t="s">
        <v>162</v>
      </c>
      <c r="C33" s="111"/>
      <c r="D33" s="111"/>
      <c r="E33" s="111"/>
      <c r="F33" s="16" t="s">
        <v>164</v>
      </c>
      <c r="G33" s="112"/>
    </row>
    <row r="34" spans="1:7" ht="16.5" x14ac:dyDescent="0.25">
      <c r="A34" s="107"/>
      <c r="B34" s="8" t="s">
        <v>165</v>
      </c>
      <c r="C34" s="109">
        <v>1</v>
      </c>
      <c r="D34" s="109">
        <v>4</v>
      </c>
      <c r="E34" s="109">
        <v>4</v>
      </c>
      <c r="F34" s="13" t="s">
        <v>167</v>
      </c>
      <c r="G34" s="110" t="s">
        <v>17</v>
      </c>
    </row>
    <row r="35" spans="1:7" ht="17.25" thickBot="1" x14ac:dyDescent="0.3">
      <c r="A35" s="107"/>
      <c r="B35" s="16" t="s">
        <v>166</v>
      </c>
      <c r="C35" s="111"/>
      <c r="D35" s="111"/>
      <c r="E35" s="111"/>
      <c r="F35" s="16" t="s">
        <v>168</v>
      </c>
      <c r="G35" s="112"/>
    </row>
    <row r="36" spans="1:7" ht="16.5" x14ac:dyDescent="0.25">
      <c r="A36" s="107"/>
      <c r="B36" s="8" t="s">
        <v>169</v>
      </c>
      <c r="C36" s="109">
        <v>1</v>
      </c>
      <c r="D36" s="109">
        <v>4</v>
      </c>
      <c r="E36" s="109">
        <v>4</v>
      </c>
      <c r="F36" s="19" t="s">
        <v>77</v>
      </c>
      <c r="G36" s="110" t="s">
        <v>47</v>
      </c>
    </row>
    <row r="37" spans="1:7" ht="16.5" x14ac:dyDescent="0.25">
      <c r="A37" s="107"/>
      <c r="B37" s="13" t="s">
        <v>170</v>
      </c>
      <c r="C37" s="104"/>
      <c r="D37" s="104"/>
      <c r="E37" s="104"/>
      <c r="F37" s="19" t="s">
        <v>172</v>
      </c>
      <c r="G37" s="107"/>
    </row>
    <row r="38" spans="1:7" ht="17.25" thickBot="1" x14ac:dyDescent="0.3">
      <c r="A38" s="108"/>
      <c r="B38" s="16" t="s">
        <v>171</v>
      </c>
      <c r="C38" s="111"/>
      <c r="D38" s="111"/>
      <c r="E38" s="111"/>
      <c r="F38" s="17"/>
      <c r="G38" s="112"/>
    </row>
    <row r="39" spans="1:7" ht="16.5" x14ac:dyDescent="0.25">
      <c r="A39" s="106" t="s">
        <v>173</v>
      </c>
      <c r="B39" s="8" t="s">
        <v>174</v>
      </c>
      <c r="C39" s="109">
        <v>1</v>
      </c>
      <c r="D39" s="109">
        <v>4</v>
      </c>
      <c r="E39" s="109">
        <v>4</v>
      </c>
      <c r="F39" s="13" t="s">
        <v>177</v>
      </c>
      <c r="G39" s="110" t="s">
        <v>47</v>
      </c>
    </row>
    <row r="40" spans="1:7" ht="16.5" x14ac:dyDescent="0.25">
      <c r="A40" s="107"/>
      <c r="B40" s="8" t="s">
        <v>84</v>
      </c>
      <c r="C40" s="104"/>
      <c r="D40" s="104"/>
      <c r="E40" s="104"/>
      <c r="F40" s="13" t="s">
        <v>85</v>
      </c>
      <c r="G40" s="107"/>
    </row>
    <row r="41" spans="1:7" ht="16.5" x14ac:dyDescent="0.25">
      <c r="A41" s="107"/>
      <c r="B41" s="13" t="s">
        <v>175</v>
      </c>
      <c r="C41" s="104"/>
      <c r="D41" s="104"/>
      <c r="E41" s="104"/>
      <c r="F41" s="19"/>
      <c r="G41" s="107"/>
    </row>
    <row r="42" spans="1:7" ht="16.5" x14ac:dyDescent="0.25">
      <c r="A42" s="107"/>
      <c r="B42" s="13" t="s">
        <v>176</v>
      </c>
      <c r="C42" s="104"/>
      <c r="D42" s="104"/>
      <c r="E42" s="104"/>
      <c r="F42" s="15"/>
      <c r="G42" s="107"/>
    </row>
    <row r="43" spans="1:7" ht="15.75" thickBot="1" x14ac:dyDescent="0.3">
      <c r="A43" s="107"/>
      <c r="B43" s="25"/>
      <c r="C43" s="105"/>
      <c r="D43" s="105"/>
      <c r="E43" s="105"/>
      <c r="F43" s="25"/>
      <c r="G43" s="108"/>
    </row>
    <row r="44" spans="1:7" ht="16.5" x14ac:dyDescent="0.25">
      <c r="A44" s="107"/>
      <c r="B44" s="8" t="s">
        <v>88</v>
      </c>
      <c r="C44" s="103">
        <v>1</v>
      </c>
      <c r="D44" s="103">
        <v>2</v>
      </c>
      <c r="E44" s="103">
        <v>2</v>
      </c>
      <c r="F44" s="13" t="s">
        <v>179</v>
      </c>
      <c r="G44" s="106" t="s">
        <v>47</v>
      </c>
    </row>
    <row r="45" spans="1:7" ht="16.5" x14ac:dyDescent="0.25">
      <c r="A45" s="107"/>
      <c r="B45" s="13" t="s">
        <v>178</v>
      </c>
      <c r="C45" s="104"/>
      <c r="D45" s="104"/>
      <c r="E45" s="104"/>
      <c r="F45" s="13" t="s">
        <v>91</v>
      </c>
      <c r="G45" s="107"/>
    </row>
    <row r="46" spans="1:7" ht="17.25" thickBot="1" x14ac:dyDescent="0.3">
      <c r="A46" s="107"/>
      <c r="B46" s="28" t="s">
        <v>92</v>
      </c>
      <c r="C46" s="105"/>
      <c r="D46" s="105"/>
      <c r="E46" s="105"/>
      <c r="F46" s="25"/>
      <c r="G46" s="108"/>
    </row>
    <row r="47" spans="1:7" ht="16.5" x14ac:dyDescent="0.25">
      <c r="A47" s="107"/>
      <c r="B47" s="8" t="s">
        <v>93</v>
      </c>
      <c r="C47" s="103">
        <v>1</v>
      </c>
      <c r="D47" s="103">
        <v>4</v>
      </c>
      <c r="E47" s="103">
        <v>4</v>
      </c>
      <c r="F47" s="13" t="s">
        <v>182</v>
      </c>
      <c r="G47" s="106" t="s">
        <v>183</v>
      </c>
    </row>
    <row r="48" spans="1:7" ht="16.5" x14ac:dyDescent="0.25">
      <c r="A48" s="107"/>
      <c r="B48" s="13" t="s">
        <v>180</v>
      </c>
      <c r="C48" s="104"/>
      <c r="D48" s="104"/>
      <c r="E48" s="104"/>
      <c r="F48" s="13" t="s">
        <v>97</v>
      </c>
      <c r="G48" s="107"/>
    </row>
    <row r="49" spans="1:7" ht="17.25" thickBot="1" x14ac:dyDescent="0.3">
      <c r="A49" s="107"/>
      <c r="B49" s="13" t="s">
        <v>181</v>
      </c>
      <c r="C49" s="104"/>
      <c r="D49" s="104"/>
      <c r="E49" s="104"/>
      <c r="F49" s="15"/>
      <c r="G49" s="107"/>
    </row>
    <row r="50" spans="1:7" ht="16.5" x14ac:dyDescent="0.25">
      <c r="A50" s="106" t="s">
        <v>184</v>
      </c>
      <c r="B50" s="8" t="s">
        <v>185</v>
      </c>
      <c r="C50" s="103">
        <v>1</v>
      </c>
      <c r="D50" s="103">
        <v>3</v>
      </c>
      <c r="E50" s="103">
        <v>3</v>
      </c>
      <c r="F50" s="19" t="s">
        <v>101</v>
      </c>
      <c r="G50" s="106" t="s">
        <v>102</v>
      </c>
    </row>
    <row r="51" spans="1:7" ht="16.5" x14ac:dyDescent="0.25">
      <c r="A51" s="107"/>
      <c r="B51" s="19" t="s">
        <v>103</v>
      </c>
      <c r="C51" s="104"/>
      <c r="D51" s="104"/>
      <c r="E51" s="104"/>
      <c r="F51" s="19" t="s">
        <v>104</v>
      </c>
      <c r="G51" s="107"/>
    </row>
    <row r="52" spans="1:7" ht="16.5" x14ac:dyDescent="0.25">
      <c r="A52" s="107"/>
      <c r="B52" s="19" t="s">
        <v>105</v>
      </c>
      <c r="C52" s="104"/>
      <c r="D52" s="104"/>
      <c r="E52" s="104"/>
      <c r="F52" s="19" t="s">
        <v>106</v>
      </c>
      <c r="G52" s="107"/>
    </row>
    <row r="53" spans="1:7" ht="16.5" x14ac:dyDescent="0.25">
      <c r="A53" s="107"/>
      <c r="B53" s="19" t="s">
        <v>107</v>
      </c>
      <c r="C53" s="104"/>
      <c r="D53" s="104"/>
      <c r="E53" s="104"/>
      <c r="F53" s="19" t="s">
        <v>108</v>
      </c>
      <c r="G53" s="107"/>
    </row>
    <row r="54" spans="1:7" ht="16.5" x14ac:dyDescent="0.25">
      <c r="A54" s="107"/>
      <c r="B54" s="19" t="s">
        <v>109</v>
      </c>
      <c r="C54" s="104"/>
      <c r="D54" s="104"/>
      <c r="E54" s="104"/>
      <c r="F54" s="19" t="s">
        <v>110</v>
      </c>
      <c r="G54" s="107"/>
    </row>
    <row r="55" spans="1:7" ht="16.5" x14ac:dyDescent="0.25">
      <c r="A55" s="107"/>
      <c r="B55" s="19" t="s">
        <v>111</v>
      </c>
      <c r="C55" s="104"/>
      <c r="D55" s="104"/>
      <c r="E55" s="104"/>
      <c r="F55" s="19" t="s">
        <v>112</v>
      </c>
      <c r="G55" s="107"/>
    </row>
    <row r="56" spans="1:7" ht="16.5" x14ac:dyDescent="0.25">
      <c r="A56" s="107"/>
      <c r="B56" s="19" t="s">
        <v>113</v>
      </c>
      <c r="C56" s="104"/>
      <c r="D56" s="104"/>
      <c r="E56" s="104"/>
      <c r="F56" s="19" t="s">
        <v>114</v>
      </c>
      <c r="G56" s="107"/>
    </row>
    <row r="57" spans="1:7" ht="16.5" x14ac:dyDescent="0.25">
      <c r="A57" s="107"/>
      <c r="B57" s="19" t="s">
        <v>115</v>
      </c>
      <c r="C57" s="104"/>
      <c r="D57" s="104"/>
      <c r="E57" s="104"/>
      <c r="F57" s="19" t="s">
        <v>116</v>
      </c>
      <c r="G57" s="107"/>
    </row>
    <row r="58" spans="1:7" ht="16.5" x14ac:dyDescent="0.25">
      <c r="A58" s="107"/>
      <c r="B58" s="19" t="s">
        <v>117</v>
      </c>
      <c r="C58" s="104"/>
      <c r="D58" s="104"/>
      <c r="E58" s="104"/>
      <c r="F58" s="19" t="s">
        <v>118</v>
      </c>
      <c r="G58" s="107"/>
    </row>
    <row r="59" spans="1:7" ht="16.5" x14ac:dyDescent="0.25">
      <c r="A59" s="107"/>
      <c r="B59" s="19" t="s">
        <v>119</v>
      </c>
      <c r="C59" s="104"/>
      <c r="D59" s="104"/>
      <c r="E59" s="104"/>
      <c r="F59" s="19" t="s">
        <v>120</v>
      </c>
      <c r="G59" s="107"/>
    </row>
    <row r="60" spans="1:7" ht="16.5" x14ac:dyDescent="0.25">
      <c r="A60" s="108"/>
      <c r="B60" s="25"/>
      <c r="C60" s="105"/>
      <c r="D60" s="105"/>
      <c r="E60" s="105"/>
      <c r="F60" s="31"/>
      <c r="G60" s="108"/>
    </row>
    <row r="61" spans="1:7" ht="16.5" x14ac:dyDescent="0.25">
      <c r="A61" s="18"/>
      <c r="B61" s="100" t="s">
        <v>121</v>
      </c>
      <c r="C61" s="101"/>
      <c r="D61" s="102"/>
      <c r="E61" s="32">
        <f>SUM(E4:E60)</f>
        <v>77</v>
      </c>
      <c r="F61" s="33"/>
      <c r="G61" s="34"/>
    </row>
  </sheetData>
  <mergeCells count="76">
    <mergeCell ref="A27:A38"/>
    <mergeCell ref="B61:D61"/>
    <mergeCell ref="D44:D46"/>
    <mergeCell ref="E44:E46"/>
    <mergeCell ref="G44:G46"/>
    <mergeCell ref="C47:C49"/>
    <mergeCell ref="D47:D49"/>
    <mergeCell ref="E47:E49"/>
    <mergeCell ref="G47:G49"/>
    <mergeCell ref="A50:A60"/>
    <mergeCell ref="C50:C60"/>
    <mergeCell ref="D50:D60"/>
    <mergeCell ref="E50:E60"/>
    <mergeCell ref="G50:G60"/>
    <mergeCell ref="A39:A49"/>
    <mergeCell ref="C39:C43"/>
    <mergeCell ref="D39:D43"/>
    <mergeCell ref="E39:E43"/>
    <mergeCell ref="G39:G43"/>
    <mergeCell ref="C44:C46"/>
    <mergeCell ref="E32:E33"/>
    <mergeCell ref="G32:G33"/>
    <mergeCell ref="C36:C38"/>
    <mergeCell ref="D36:D38"/>
    <mergeCell ref="E36:E38"/>
    <mergeCell ref="G36:G38"/>
    <mergeCell ref="C34:C35"/>
    <mergeCell ref="D34:D35"/>
    <mergeCell ref="E34:E35"/>
    <mergeCell ref="G34:G35"/>
    <mergeCell ref="E24:E26"/>
    <mergeCell ref="G24:G26"/>
    <mergeCell ref="C27:C29"/>
    <mergeCell ref="D27:D29"/>
    <mergeCell ref="E27:E29"/>
    <mergeCell ref="G27:G29"/>
    <mergeCell ref="C30:C31"/>
    <mergeCell ref="D30:D31"/>
    <mergeCell ref="E30:E31"/>
    <mergeCell ref="G30:G31"/>
    <mergeCell ref="C32:C33"/>
    <mergeCell ref="D32:D33"/>
    <mergeCell ref="A17:A26"/>
    <mergeCell ref="C17:C20"/>
    <mergeCell ref="D17:D20"/>
    <mergeCell ref="E17:E20"/>
    <mergeCell ref="G17:G20"/>
    <mergeCell ref="C21:C23"/>
    <mergeCell ref="D21:D23"/>
    <mergeCell ref="E21:E23"/>
    <mergeCell ref="C24:C26"/>
    <mergeCell ref="D24:D26"/>
    <mergeCell ref="G13:G14"/>
    <mergeCell ref="A15:A16"/>
    <mergeCell ref="C15:C16"/>
    <mergeCell ref="D15:D16"/>
    <mergeCell ref="E15:E16"/>
    <mergeCell ref="G15:G16"/>
    <mergeCell ref="A13:A14"/>
    <mergeCell ref="C13:C14"/>
    <mergeCell ref="D13:D14"/>
    <mergeCell ref="E13:E14"/>
    <mergeCell ref="F13:F14"/>
    <mergeCell ref="A10:A12"/>
    <mergeCell ref="C10:C12"/>
    <mergeCell ref="D10:D12"/>
    <mergeCell ref="E10:E12"/>
    <mergeCell ref="G10:G12"/>
    <mergeCell ref="B1:B3"/>
    <mergeCell ref="A4:A9"/>
    <mergeCell ref="C4:C6"/>
    <mergeCell ref="D4:D6"/>
    <mergeCell ref="E4:E6"/>
    <mergeCell ref="C7:C9"/>
    <mergeCell ref="D7:D9"/>
    <mergeCell ref="E7:E9"/>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341C93-175A-47AE-A985-18BB9AD4A486}">
  <dimension ref="A1:G67"/>
  <sheetViews>
    <sheetView topLeftCell="A17" zoomScale="70" zoomScaleNormal="70" workbookViewId="0">
      <selection activeCell="E34" sqref="E34:E45"/>
    </sheetView>
  </sheetViews>
  <sheetFormatPr defaultRowHeight="15" x14ac:dyDescent="0.25"/>
  <cols>
    <col min="1" max="1" width="6.85546875" bestFit="1" customWidth="1"/>
    <col min="2" max="2" width="155.42578125" bestFit="1" customWidth="1"/>
    <col min="3" max="3" width="12.7109375" bestFit="1" customWidth="1"/>
    <col min="4" max="4" width="10.140625" bestFit="1" customWidth="1"/>
    <col min="5" max="5" width="8.42578125" bestFit="1" customWidth="1"/>
    <col min="6" max="6" width="203.5703125" bestFit="1" customWidth="1"/>
    <col min="7" max="7" width="106.85546875" bestFit="1" customWidth="1"/>
  </cols>
  <sheetData>
    <row r="1" spans="1:7" ht="16.5" x14ac:dyDescent="0.25">
      <c r="A1" s="35" t="s">
        <v>0</v>
      </c>
      <c r="B1" s="146" t="s">
        <v>1</v>
      </c>
      <c r="C1" s="36" t="s">
        <v>2</v>
      </c>
      <c r="D1" s="36" t="s">
        <v>3</v>
      </c>
      <c r="E1" s="36" t="s">
        <v>0</v>
      </c>
      <c r="F1" s="36" t="s">
        <v>4</v>
      </c>
      <c r="G1" s="36" t="s">
        <v>5</v>
      </c>
    </row>
    <row r="2" spans="1:7" ht="16.5" x14ac:dyDescent="0.25">
      <c r="A2" s="37" t="s">
        <v>6</v>
      </c>
      <c r="B2" s="147"/>
      <c r="C2" s="38" t="s">
        <v>7</v>
      </c>
      <c r="D2" s="38" t="s">
        <v>8</v>
      </c>
      <c r="E2" s="38" t="s">
        <v>9</v>
      </c>
      <c r="F2" s="38" t="s">
        <v>10</v>
      </c>
      <c r="G2" s="38" t="s">
        <v>11</v>
      </c>
    </row>
    <row r="3" spans="1:7" ht="17.25" thickBot="1" x14ac:dyDescent="0.3">
      <c r="A3" s="39"/>
      <c r="B3" s="148"/>
      <c r="C3" s="40" t="s">
        <v>12</v>
      </c>
      <c r="D3" s="40" t="s">
        <v>12</v>
      </c>
      <c r="E3" s="40" t="s">
        <v>13</v>
      </c>
      <c r="F3" s="41"/>
      <c r="G3" s="41"/>
    </row>
    <row r="4" spans="1:7" ht="16.5" x14ac:dyDescent="0.25">
      <c r="A4" s="106" t="s">
        <v>14</v>
      </c>
      <c r="B4" s="11" t="s">
        <v>297</v>
      </c>
      <c r="C4" s="103">
        <v>1</v>
      </c>
      <c r="D4" s="103">
        <v>3</v>
      </c>
      <c r="E4" s="103">
        <v>3</v>
      </c>
      <c r="F4" s="19" t="s">
        <v>873</v>
      </c>
      <c r="G4" s="106" t="s">
        <v>17</v>
      </c>
    </row>
    <row r="5" spans="1:7" ht="16.5" x14ac:dyDescent="0.25">
      <c r="A5" s="107"/>
      <c r="B5" s="30" t="s">
        <v>869</v>
      </c>
      <c r="C5" s="104"/>
      <c r="D5" s="104"/>
      <c r="E5" s="104"/>
      <c r="F5" s="19" t="s">
        <v>874</v>
      </c>
      <c r="G5" s="107"/>
    </row>
    <row r="6" spans="1:7" ht="16.5" x14ac:dyDescent="0.25">
      <c r="A6" s="107"/>
      <c r="B6" s="13" t="s">
        <v>870</v>
      </c>
      <c r="C6" s="104"/>
      <c r="D6" s="104"/>
      <c r="E6" s="104"/>
      <c r="F6" s="19" t="s">
        <v>875</v>
      </c>
      <c r="G6" s="107"/>
    </row>
    <row r="7" spans="1:7" ht="16.5" x14ac:dyDescent="0.25">
      <c r="A7" s="107"/>
      <c r="B7" s="13" t="s">
        <v>871</v>
      </c>
      <c r="C7" s="104"/>
      <c r="D7" s="104"/>
      <c r="E7" s="104"/>
      <c r="F7" s="19" t="s">
        <v>876</v>
      </c>
      <c r="G7" s="107"/>
    </row>
    <row r="8" spans="1:7" ht="16.5" x14ac:dyDescent="0.25">
      <c r="A8" s="107"/>
      <c r="B8" s="13" t="s">
        <v>872</v>
      </c>
      <c r="C8" s="104"/>
      <c r="D8" s="104"/>
      <c r="E8" s="104"/>
      <c r="F8" s="15"/>
      <c r="G8" s="107"/>
    </row>
    <row r="9" spans="1:7" ht="17.25" thickBot="1" x14ac:dyDescent="0.3">
      <c r="A9" s="107"/>
      <c r="B9" s="20"/>
      <c r="C9" s="111"/>
      <c r="D9" s="111"/>
      <c r="E9" s="111"/>
      <c r="F9" s="17"/>
      <c r="G9" s="108"/>
    </row>
    <row r="10" spans="1:7" ht="16.5" x14ac:dyDescent="0.25">
      <c r="A10" s="107"/>
      <c r="B10" s="8" t="s">
        <v>23</v>
      </c>
      <c r="C10" s="109">
        <v>1</v>
      </c>
      <c r="D10" s="109">
        <v>3</v>
      </c>
      <c r="E10" s="109">
        <v>3</v>
      </c>
      <c r="F10" s="19" t="s">
        <v>880</v>
      </c>
      <c r="G10" s="106" t="s">
        <v>884</v>
      </c>
    </row>
    <row r="11" spans="1:7" ht="16.5" x14ac:dyDescent="0.25">
      <c r="A11" s="107"/>
      <c r="B11" s="13" t="s">
        <v>877</v>
      </c>
      <c r="C11" s="104"/>
      <c r="D11" s="104"/>
      <c r="E11" s="104"/>
      <c r="F11" s="19" t="s">
        <v>881</v>
      </c>
      <c r="G11" s="107"/>
    </row>
    <row r="12" spans="1:7" ht="16.5" x14ac:dyDescent="0.25">
      <c r="A12" s="107"/>
      <c r="B12" s="13" t="s">
        <v>878</v>
      </c>
      <c r="C12" s="104"/>
      <c r="D12" s="104"/>
      <c r="E12" s="104"/>
      <c r="F12" s="19" t="s">
        <v>882</v>
      </c>
      <c r="G12" s="107"/>
    </row>
    <row r="13" spans="1:7" ht="17.25" thickBot="1" x14ac:dyDescent="0.3">
      <c r="A13" s="107"/>
      <c r="B13" s="16" t="s">
        <v>879</v>
      </c>
      <c r="C13" s="111"/>
      <c r="D13" s="111"/>
      <c r="E13" s="111"/>
      <c r="F13" s="52" t="s">
        <v>883</v>
      </c>
      <c r="G13" s="108"/>
    </row>
    <row r="14" spans="1:7" ht="16.5" x14ac:dyDescent="0.25">
      <c r="A14" s="107"/>
      <c r="B14" s="8" t="s">
        <v>30</v>
      </c>
      <c r="C14" s="109">
        <v>1</v>
      </c>
      <c r="D14" s="109">
        <v>4</v>
      </c>
      <c r="E14" s="109">
        <v>4</v>
      </c>
      <c r="F14" s="19" t="s">
        <v>888</v>
      </c>
      <c r="G14" s="106" t="s">
        <v>17</v>
      </c>
    </row>
    <row r="15" spans="1:7" ht="16.5" x14ac:dyDescent="0.25">
      <c r="A15" s="107"/>
      <c r="B15" s="19" t="s">
        <v>885</v>
      </c>
      <c r="C15" s="104"/>
      <c r="D15" s="104"/>
      <c r="E15" s="104"/>
      <c r="F15" s="13" t="s">
        <v>889</v>
      </c>
      <c r="G15" s="107"/>
    </row>
    <row r="16" spans="1:7" ht="16.5" x14ac:dyDescent="0.25">
      <c r="A16" s="107"/>
      <c r="B16" s="19" t="s">
        <v>886</v>
      </c>
      <c r="C16" s="104"/>
      <c r="D16" s="104"/>
      <c r="E16" s="104"/>
      <c r="F16" s="15"/>
      <c r="G16" s="107"/>
    </row>
    <row r="17" spans="1:7" ht="16.5" x14ac:dyDescent="0.25">
      <c r="A17" s="107"/>
      <c r="B17" s="19" t="s">
        <v>887</v>
      </c>
      <c r="C17" s="104"/>
      <c r="D17" s="104"/>
      <c r="E17" s="104"/>
      <c r="F17" s="15"/>
      <c r="G17" s="107"/>
    </row>
    <row r="18" spans="1:7" ht="17.25" thickBot="1" x14ac:dyDescent="0.3">
      <c r="A18" s="108"/>
      <c r="B18" s="21"/>
      <c r="C18" s="111"/>
      <c r="D18" s="111"/>
      <c r="E18" s="111"/>
      <c r="F18" s="17"/>
      <c r="G18" s="112"/>
    </row>
    <row r="19" spans="1:7" ht="16.5" x14ac:dyDescent="0.25">
      <c r="A19" s="106" t="s">
        <v>34</v>
      </c>
      <c r="B19" s="8" t="s">
        <v>35</v>
      </c>
      <c r="C19" s="109">
        <v>1</v>
      </c>
      <c r="D19" s="109">
        <v>4</v>
      </c>
      <c r="E19" s="109">
        <v>4</v>
      </c>
      <c r="F19" s="19" t="s">
        <v>311</v>
      </c>
      <c r="G19" s="110" t="s">
        <v>17</v>
      </c>
    </row>
    <row r="20" spans="1:7" ht="16.5" x14ac:dyDescent="0.25">
      <c r="A20" s="107"/>
      <c r="B20" s="8" t="s">
        <v>37</v>
      </c>
      <c r="C20" s="104"/>
      <c r="D20" s="104"/>
      <c r="E20" s="104"/>
      <c r="F20" s="19" t="s">
        <v>890</v>
      </c>
      <c r="G20" s="107"/>
    </row>
    <row r="21" spans="1:7" ht="17.25" thickBot="1" x14ac:dyDescent="0.3">
      <c r="A21" s="107"/>
      <c r="B21" s="21" t="s">
        <v>39</v>
      </c>
      <c r="C21" s="111"/>
      <c r="D21" s="111"/>
      <c r="E21" s="111"/>
      <c r="F21" s="17"/>
      <c r="G21" s="112"/>
    </row>
    <row r="22" spans="1:7" ht="16.5" x14ac:dyDescent="0.25">
      <c r="A22" s="107"/>
      <c r="B22" s="8" t="s">
        <v>40</v>
      </c>
      <c r="C22" s="109">
        <v>1</v>
      </c>
      <c r="D22" s="109">
        <v>4</v>
      </c>
      <c r="E22" s="109">
        <v>4</v>
      </c>
      <c r="F22" s="158" t="s">
        <v>132</v>
      </c>
      <c r="G22" s="110" t="s">
        <v>17</v>
      </c>
    </row>
    <row r="23" spans="1:7" ht="17.25" thickBot="1" x14ac:dyDescent="0.3">
      <c r="A23" s="107"/>
      <c r="B23" s="21" t="s">
        <v>42</v>
      </c>
      <c r="C23" s="111"/>
      <c r="D23" s="111"/>
      <c r="E23" s="111"/>
      <c r="F23" s="159"/>
      <c r="G23" s="112"/>
    </row>
    <row r="24" spans="1:7" ht="16.5" x14ac:dyDescent="0.25">
      <c r="A24" s="107"/>
      <c r="B24" s="8" t="s">
        <v>133</v>
      </c>
      <c r="C24" s="109">
        <v>1</v>
      </c>
      <c r="D24" s="109">
        <v>4</v>
      </c>
      <c r="E24" s="109">
        <v>4</v>
      </c>
      <c r="F24" s="19" t="s">
        <v>892</v>
      </c>
      <c r="G24" s="110" t="s">
        <v>17</v>
      </c>
    </row>
    <row r="25" spans="1:7" ht="16.5" x14ac:dyDescent="0.25">
      <c r="A25" s="107"/>
      <c r="B25" s="23" t="s">
        <v>891</v>
      </c>
      <c r="C25" s="104"/>
      <c r="D25" s="104"/>
      <c r="E25" s="104"/>
      <c r="F25" s="27" t="s">
        <v>893</v>
      </c>
      <c r="G25" s="107"/>
    </row>
    <row r="26" spans="1:7" ht="17.25" thickBot="1" x14ac:dyDescent="0.3">
      <c r="A26" s="107"/>
      <c r="B26" s="20"/>
      <c r="C26" s="111"/>
      <c r="D26" s="111"/>
      <c r="E26" s="111"/>
      <c r="F26" s="17"/>
      <c r="G26" s="112"/>
    </row>
    <row r="27" spans="1:7" ht="16.5" x14ac:dyDescent="0.25">
      <c r="A27" s="107"/>
      <c r="B27" s="8" t="s">
        <v>137</v>
      </c>
      <c r="C27" s="109">
        <v>2</v>
      </c>
      <c r="D27" s="109">
        <v>4</v>
      </c>
      <c r="E27" s="109">
        <v>8</v>
      </c>
      <c r="F27" s="13" t="s">
        <v>318</v>
      </c>
      <c r="G27" s="110" t="s">
        <v>47</v>
      </c>
    </row>
    <row r="28" spans="1:7" ht="16.5" x14ac:dyDescent="0.25">
      <c r="A28" s="107"/>
      <c r="B28" s="13" t="s">
        <v>55</v>
      </c>
      <c r="C28" s="104"/>
      <c r="D28" s="104"/>
      <c r="E28" s="104"/>
      <c r="F28" s="13" t="s">
        <v>319</v>
      </c>
      <c r="G28" s="107"/>
    </row>
    <row r="29" spans="1:7" ht="16.5" x14ac:dyDescent="0.25">
      <c r="A29" s="107"/>
      <c r="B29" s="13" t="s">
        <v>57</v>
      </c>
      <c r="C29" s="104"/>
      <c r="D29" s="104"/>
      <c r="E29" s="104"/>
      <c r="F29" s="22" t="s">
        <v>895</v>
      </c>
      <c r="G29" s="107"/>
    </row>
    <row r="30" spans="1:7" ht="17.25" thickBot="1" x14ac:dyDescent="0.3">
      <c r="A30" s="107"/>
      <c r="B30" s="16" t="s">
        <v>894</v>
      </c>
      <c r="C30" s="111"/>
      <c r="D30" s="111"/>
      <c r="E30" s="111"/>
      <c r="F30" s="17"/>
      <c r="G30" s="112"/>
    </row>
    <row r="31" spans="1:7" ht="16.5" x14ac:dyDescent="0.25">
      <c r="A31" s="107"/>
      <c r="B31" s="8" t="s">
        <v>321</v>
      </c>
      <c r="C31" s="109">
        <v>1</v>
      </c>
      <c r="D31" s="109">
        <v>4</v>
      </c>
      <c r="E31" s="109">
        <v>4</v>
      </c>
      <c r="F31" s="116" t="s">
        <v>148</v>
      </c>
      <c r="G31" s="110" t="s">
        <v>47</v>
      </c>
    </row>
    <row r="32" spans="1:7" ht="16.5" x14ac:dyDescent="0.25">
      <c r="A32" s="107"/>
      <c r="B32" s="13" t="s">
        <v>896</v>
      </c>
      <c r="C32" s="104"/>
      <c r="D32" s="104"/>
      <c r="E32" s="104"/>
      <c r="F32" s="117"/>
      <c r="G32" s="107"/>
    </row>
    <row r="33" spans="1:7" ht="17.25" thickBot="1" x14ac:dyDescent="0.3">
      <c r="A33" s="108"/>
      <c r="B33" s="28" t="s">
        <v>897</v>
      </c>
      <c r="C33" s="105"/>
      <c r="D33" s="105"/>
      <c r="E33" s="105"/>
      <c r="F33" s="118"/>
      <c r="G33" s="108"/>
    </row>
    <row r="34" spans="1:7" ht="16.5" x14ac:dyDescent="0.25">
      <c r="A34" s="106" t="s">
        <v>81</v>
      </c>
      <c r="B34" s="8" t="s">
        <v>150</v>
      </c>
      <c r="C34" s="103">
        <v>4</v>
      </c>
      <c r="D34" s="103">
        <v>5</v>
      </c>
      <c r="E34" s="103">
        <v>20</v>
      </c>
      <c r="F34" s="22" t="s">
        <v>900</v>
      </c>
      <c r="G34" s="106" t="s">
        <v>902</v>
      </c>
    </row>
    <row r="35" spans="1:7" ht="16.5" x14ac:dyDescent="0.25">
      <c r="A35" s="107"/>
      <c r="B35" s="8" t="s">
        <v>325</v>
      </c>
      <c r="C35" s="104"/>
      <c r="D35" s="104"/>
      <c r="E35" s="104"/>
      <c r="F35" s="22" t="s">
        <v>901</v>
      </c>
      <c r="G35" s="107"/>
    </row>
    <row r="36" spans="1:7" ht="16.5" x14ac:dyDescent="0.25">
      <c r="A36" s="107"/>
      <c r="B36" s="22" t="s">
        <v>898</v>
      </c>
      <c r="C36" s="104"/>
      <c r="D36" s="104"/>
      <c r="E36" s="104"/>
      <c r="F36" s="15"/>
      <c r="G36" s="107"/>
    </row>
    <row r="37" spans="1:7" ht="17.25" thickBot="1" x14ac:dyDescent="0.3">
      <c r="A37" s="107"/>
      <c r="B37" s="29" t="s">
        <v>899</v>
      </c>
      <c r="C37" s="111"/>
      <c r="D37" s="111"/>
      <c r="E37" s="111"/>
      <c r="F37" s="17"/>
      <c r="G37" s="112"/>
    </row>
    <row r="38" spans="1:7" ht="16.5" x14ac:dyDescent="0.25">
      <c r="A38" s="107"/>
      <c r="B38" s="8" t="s">
        <v>903</v>
      </c>
      <c r="C38" s="109">
        <v>2</v>
      </c>
      <c r="D38" s="109">
        <v>3</v>
      </c>
      <c r="E38" s="109">
        <v>6</v>
      </c>
      <c r="F38" s="22" t="s">
        <v>905</v>
      </c>
      <c r="G38" s="110" t="s">
        <v>907</v>
      </c>
    </row>
    <row r="39" spans="1:7" ht="17.25" thickBot="1" x14ac:dyDescent="0.3">
      <c r="A39" s="107"/>
      <c r="B39" s="21" t="s">
        <v>904</v>
      </c>
      <c r="C39" s="111"/>
      <c r="D39" s="111"/>
      <c r="E39" s="111"/>
      <c r="F39" s="29" t="s">
        <v>906</v>
      </c>
      <c r="G39" s="112"/>
    </row>
    <row r="40" spans="1:7" ht="16.5" x14ac:dyDescent="0.25">
      <c r="A40" s="107"/>
      <c r="B40" s="8" t="s">
        <v>598</v>
      </c>
      <c r="C40" s="109">
        <v>1</v>
      </c>
      <c r="D40" s="109">
        <v>4</v>
      </c>
      <c r="E40" s="109">
        <v>4</v>
      </c>
      <c r="F40" s="22" t="s">
        <v>910</v>
      </c>
      <c r="G40" s="110" t="s">
        <v>17</v>
      </c>
    </row>
    <row r="41" spans="1:7" ht="16.5" x14ac:dyDescent="0.25">
      <c r="A41" s="107"/>
      <c r="B41" s="22" t="s">
        <v>908</v>
      </c>
      <c r="C41" s="104"/>
      <c r="D41" s="104"/>
      <c r="E41" s="104"/>
      <c r="F41" s="22" t="s">
        <v>911</v>
      </c>
      <c r="G41" s="107"/>
    </row>
    <row r="42" spans="1:7" ht="17.25" thickBot="1" x14ac:dyDescent="0.3">
      <c r="A42" s="107"/>
      <c r="B42" s="16" t="s">
        <v>909</v>
      </c>
      <c r="C42" s="111"/>
      <c r="D42" s="111"/>
      <c r="E42" s="111"/>
      <c r="F42" s="17"/>
      <c r="G42" s="112"/>
    </row>
    <row r="43" spans="1:7" ht="16.5" x14ac:dyDescent="0.25">
      <c r="A43" s="107"/>
      <c r="B43" s="8" t="s">
        <v>432</v>
      </c>
      <c r="C43" s="109">
        <v>1</v>
      </c>
      <c r="D43" s="109">
        <v>4</v>
      </c>
      <c r="E43" s="109">
        <v>4</v>
      </c>
      <c r="F43" s="27" t="s">
        <v>77</v>
      </c>
      <c r="G43" s="110" t="s">
        <v>47</v>
      </c>
    </row>
    <row r="44" spans="1:7" ht="16.5" x14ac:dyDescent="0.25">
      <c r="A44" s="107"/>
      <c r="B44" s="22" t="s">
        <v>912</v>
      </c>
      <c r="C44" s="104"/>
      <c r="D44" s="104"/>
      <c r="E44" s="104"/>
      <c r="F44" s="27" t="s">
        <v>913</v>
      </c>
      <c r="G44" s="107"/>
    </row>
    <row r="45" spans="1:7" ht="17.25" thickBot="1" x14ac:dyDescent="0.3">
      <c r="A45" s="108"/>
      <c r="B45" s="29" t="s">
        <v>80</v>
      </c>
      <c r="C45" s="111"/>
      <c r="D45" s="111"/>
      <c r="E45" s="111"/>
      <c r="F45" s="17"/>
      <c r="G45" s="112"/>
    </row>
    <row r="46" spans="1:7" ht="16.5" x14ac:dyDescent="0.25">
      <c r="A46" s="106" t="s">
        <v>173</v>
      </c>
      <c r="B46" s="8" t="s">
        <v>174</v>
      </c>
      <c r="C46" s="109">
        <v>1</v>
      </c>
      <c r="D46" s="109">
        <v>3</v>
      </c>
      <c r="E46" s="109">
        <v>3</v>
      </c>
      <c r="F46" s="22" t="s">
        <v>916</v>
      </c>
      <c r="G46" s="110" t="s">
        <v>47</v>
      </c>
    </row>
    <row r="47" spans="1:7" ht="16.5" x14ac:dyDescent="0.25">
      <c r="A47" s="107"/>
      <c r="B47" s="8" t="s">
        <v>84</v>
      </c>
      <c r="C47" s="104"/>
      <c r="D47" s="104"/>
      <c r="E47" s="104"/>
      <c r="F47" s="22" t="s">
        <v>85</v>
      </c>
      <c r="G47" s="107"/>
    </row>
    <row r="48" spans="1:7" ht="16.5" x14ac:dyDescent="0.25">
      <c r="A48" s="107"/>
      <c r="B48" s="13" t="s">
        <v>914</v>
      </c>
      <c r="C48" s="104"/>
      <c r="D48" s="104"/>
      <c r="E48" s="104"/>
      <c r="F48" s="19"/>
      <c r="G48" s="107"/>
    </row>
    <row r="49" spans="1:7" ht="17.25" thickBot="1" x14ac:dyDescent="0.3">
      <c r="A49" s="107"/>
      <c r="B49" s="28" t="s">
        <v>915</v>
      </c>
      <c r="C49" s="105"/>
      <c r="D49" s="105"/>
      <c r="E49" s="105"/>
      <c r="F49" s="25"/>
      <c r="G49" s="108"/>
    </row>
    <row r="50" spans="1:7" ht="16.5" x14ac:dyDescent="0.25">
      <c r="A50" s="107"/>
      <c r="B50" s="8" t="s">
        <v>88</v>
      </c>
      <c r="C50" s="103">
        <v>1</v>
      </c>
      <c r="D50" s="103">
        <v>3</v>
      </c>
      <c r="E50" s="103">
        <v>3</v>
      </c>
      <c r="F50" s="22" t="s">
        <v>918</v>
      </c>
      <c r="G50" s="106" t="s">
        <v>47</v>
      </c>
    </row>
    <row r="51" spans="1:7" ht="16.5" x14ac:dyDescent="0.25">
      <c r="A51" s="107"/>
      <c r="B51" s="13" t="s">
        <v>917</v>
      </c>
      <c r="C51" s="104"/>
      <c r="D51" s="104"/>
      <c r="E51" s="104"/>
      <c r="F51" s="22" t="s">
        <v>91</v>
      </c>
      <c r="G51" s="107"/>
    </row>
    <row r="52" spans="1:7" ht="17.25" thickBot="1" x14ac:dyDescent="0.3">
      <c r="A52" s="107"/>
      <c r="B52" s="28" t="s">
        <v>92</v>
      </c>
      <c r="C52" s="105"/>
      <c r="D52" s="105"/>
      <c r="E52" s="105"/>
      <c r="F52" s="25"/>
      <c r="G52" s="108"/>
    </row>
    <row r="53" spans="1:7" ht="33" x14ac:dyDescent="0.25">
      <c r="A53" s="107"/>
      <c r="B53" s="8" t="s">
        <v>93</v>
      </c>
      <c r="C53" s="103">
        <v>1</v>
      </c>
      <c r="D53" s="103">
        <v>3</v>
      </c>
      <c r="E53" s="103">
        <v>3</v>
      </c>
      <c r="F53" s="22" t="s">
        <v>921</v>
      </c>
      <c r="G53" s="106" t="s">
        <v>95</v>
      </c>
    </row>
    <row r="54" spans="1:7" ht="16.5" x14ac:dyDescent="0.25">
      <c r="A54" s="107"/>
      <c r="B54" s="13" t="s">
        <v>919</v>
      </c>
      <c r="C54" s="104"/>
      <c r="D54" s="104"/>
      <c r="E54" s="104"/>
      <c r="F54" s="22" t="s">
        <v>97</v>
      </c>
      <c r="G54" s="107"/>
    </row>
    <row r="55" spans="1:7" ht="17.25" thickBot="1" x14ac:dyDescent="0.3">
      <c r="A55" s="108"/>
      <c r="B55" s="28" t="s">
        <v>920</v>
      </c>
      <c r="C55" s="105"/>
      <c r="D55" s="105"/>
      <c r="E55" s="105"/>
      <c r="F55" s="25"/>
      <c r="G55" s="108"/>
    </row>
    <row r="56" spans="1:7" ht="16.5" x14ac:dyDescent="0.25">
      <c r="A56" s="106" t="s">
        <v>184</v>
      </c>
      <c r="B56" s="30" t="s">
        <v>922</v>
      </c>
      <c r="C56" s="103">
        <v>1</v>
      </c>
      <c r="D56" s="103">
        <v>3</v>
      </c>
      <c r="E56" s="103">
        <v>3</v>
      </c>
      <c r="F56" s="19" t="s">
        <v>101</v>
      </c>
      <c r="G56" s="106" t="s">
        <v>102</v>
      </c>
    </row>
    <row r="57" spans="1:7" ht="16.5" x14ac:dyDescent="0.25">
      <c r="A57" s="107"/>
      <c r="B57" s="19" t="s">
        <v>103</v>
      </c>
      <c r="C57" s="104"/>
      <c r="D57" s="104"/>
      <c r="E57" s="104"/>
      <c r="F57" s="19" t="s">
        <v>104</v>
      </c>
      <c r="G57" s="107"/>
    </row>
    <row r="58" spans="1:7" ht="16.5" x14ac:dyDescent="0.25">
      <c r="A58" s="107"/>
      <c r="B58" s="19" t="s">
        <v>105</v>
      </c>
      <c r="C58" s="104"/>
      <c r="D58" s="104"/>
      <c r="E58" s="104"/>
      <c r="F58" s="19" t="s">
        <v>106</v>
      </c>
      <c r="G58" s="107"/>
    </row>
    <row r="59" spans="1:7" ht="16.5" x14ac:dyDescent="0.25">
      <c r="A59" s="107"/>
      <c r="B59" s="19" t="s">
        <v>107</v>
      </c>
      <c r="C59" s="104"/>
      <c r="D59" s="104"/>
      <c r="E59" s="104"/>
      <c r="F59" s="19" t="s">
        <v>108</v>
      </c>
      <c r="G59" s="107"/>
    </row>
    <row r="60" spans="1:7" ht="16.5" x14ac:dyDescent="0.25">
      <c r="A60" s="107"/>
      <c r="B60" s="19" t="s">
        <v>109</v>
      </c>
      <c r="C60" s="104"/>
      <c r="D60" s="104"/>
      <c r="E60" s="104"/>
      <c r="F60" s="19" t="s">
        <v>110</v>
      </c>
      <c r="G60" s="107"/>
    </row>
    <row r="61" spans="1:7" ht="16.5" x14ac:dyDescent="0.25">
      <c r="A61" s="107"/>
      <c r="B61" s="19" t="s">
        <v>111</v>
      </c>
      <c r="C61" s="104"/>
      <c r="D61" s="104"/>
      <c r="E61" s="104"/>
      <c r="F61" s="19" t="s">
        <v>112</v>
      </c>
      <c r="G61" s="107"/>
    </row>
    <row r="62" spans="1:7" ht="16.5" x14ac:dyDescent="0.25">
      <c r="A62" s="107"/>
      <c r="B62" s="19" t="s">
        <v>113</v>
      </c>
      <c r="C62" s="104"/>
      <c r="D62" s="104"/>
      <c r="E62" s="104"/>
      <c r="F62" s="19" t="s">
        <v>114</v>
      </c>
      <c r="G62" s="107"/>
    </row>
    <row r="63" spans="1:7" ht="16.5" x14ac:dyDescent="0.25">
      <c r="A63" s="107"/>
      <c r="B63" s="19" t="s">
        <v>115</v>
      </c>
      <c r="C63" s="104"/>
      <c r="D63" s="104"/>
      <c r="E63" s="104"/>
      <c r="F63" s="19" t="s">
        <v>116</v>
      </c>
      <c r="G63" s="107"/>
    </row>
    <row r="64" spans="1:7" ht="16.5" x14ac:dyDescent="0.25">
      <c r="A64" s="107"/>
      <c r="B64" s="19" t="s">
        <v>117</v>
      </c>
      <c r="C64" s="104"/>
      <c r="D64" s="104"/>
      <c r="E64" s="104"/>
      <c r="F64" s="19" t="s">
        <v>118</v>
      </c>
      <c r="G64" s="107"/>
    </row>
    <row r="65" spans="1:7" ht="16.5" x14ac:dyDescent="0.25">
      <c r="A65" s="107"/>
      <c r="B65" s="19" t="s">
        <v>119</v>
      </c>
      <c r="C65" s="104"/>
      <c r="D65" s="104"/>
      <c r="E65" s="104"/>
      <c r="F65" s="19" t="s">
        <v>120</v>
      </c>
      <c r="G65" s="107"/>
    </row>
    <row r="66" spans="1:7" ht="17.25" thickBot="1" x14ac:dyDescent="0.3">
      <c r="A66" s="108"/>
      <c r="B66" s="25"/>
      <c r="C66" s="105"/>
      <c r="D66" s="105"/>
      <c r="E66" s="105"/>
      <c r="F66" s="31"/>
      <c r="G66" s="108"/>
    </row>
    <row r="67" spans="1:7" ht="17.25" thickBot="1" x14ac:dyDescent="0.3">
      <c r="A67" s="18"/>
      <c r="B67" s="100" t="s">
        <v>121</v>
      </c>
      <c r="C67" s="101"/>
      <c r="D67" s="102"/>
      <c r="E67" s="32">
        <f>SUM(E4:E66)</f>
        <v>80</v>
      </c>
      <c r="F67" s="33"/>
      <c r="G67" s="34"/>
    </row>
  </sheetData>
  <mergeCells count="73">
    <mergeCell ref="G4:G9"/>
    <mergeCell ref="C10:C13"/>
    <mergeCell ref="D10:D13"/>
    <mergeCell ref="E10:E13"/>
    <mergeCell ref="G10:G13"/>
    <mergeCell ref="B1:B3"/>
    <mergeCell ref="A4:A18"/>
    <mergeCell ref="C4:C9"/>
    <mergeCell ref="D4:D9"/>
    <mergeCell ref="E4:E9"/>
    <mergeCell ref="C14:C18"/>
    <mergeCell ref="D14:D18"/>
    <mergeCell ref="E14:E18"/>
    <mergeCell ref="G14:G18"/>
    <mergeCell ref="A19:A33"/>
    <mergeCell ref="C19:C21"/>
    <mergeCell ref="D19:D21"/>
    <mergeCell ref="E19:E21"/>
    <mergeCell ref="G19:G21"/>
    <mergeCell ref="C22:C23"/>
    <mergeCell ref="D22:D23"/>
    <mergeCell ref="E22:E23"/>
    <mergeCell ref="F22:F23"/>
    <mergeCell ref="G22:G23"/>
    <mergeCell ref="C24:C26"/>
    <mergeCell ref="D24:D26"/>
    <mergeCell ref="E24:E26"/>
    <mergeCell ref="G24:G26"/>
    <mergeCell ref="C27:C30"/>
    <mergeCell ref="D27:D30"/>
    <mergeCell ref="E27:E30"/>
    <mergeCell ref="G27:G30"/>
    <mergeCell ref="C31:C33"/>
    <mergeCell ref="D31:D33"/>
    <mergeCell ref="E31:E33"/>
    <mergeCell ref="F31:F33"/>
    <mergeCell ref="G31:G33"/>
    <mergeCell ref="A34:A45"/>
    <mergeCell ref="C34:C37"/>
    <mergeCell ref="D34:D37"/>
    <mergeCell ref="E34:E37"/>
    <mergeCell ref="G34:G37"/>
    <mergeCell ref="C38:C39"/>
    <mergeCell ref="D38:D39"/>
    <mergeCell ref="E38:E39"/>
    <mergeCell ref="G38:G39"/>
    <mergeCell ref="C40:C42"/>
    <mergeCell ref="E50:E52"/>
    <mergeCell ref="G50:G52"/>
    <mergeCell ref="C53:C55"/>
    <mergeCell ref="D40:D42"/>
    <mergeCell ref="E40:E42"/>
    <mergeCell ref="G40:G42"/>
    <mergeCell ref="C43:C45"/>
    <mergeCell ref="D43:D45"/>
    <mergeCell ref="E43:E45"/>
    <mergeCell ref="G43:G45"/>
    <mergeCell ref="B67:D67"/>
    <mergeCell ref="D53:D55"/>
    <mergeCell ref="E53:E55"/>
    <mergeCell ref="G53:G55"/>
    <mergeCell ref="A56:A66"/>
    <mergeCell ref="C56:C66"/>
    <mergeCell ref="D56:D66"/>
    <mergeCell ref="E56:E66"/>
    <mergeCell ref="G56:G66"/>
    <mergeCell ref="A46:A55"/>
    <mergeCell ref="C46:C49"/>
    <mergeCell ref="D46:D49"/>
    <mergeCell ref="E46:E49"/>
    <mergeCell ref="G46:G49"/>
    <mergeCell ref="C50:C52"/>
    <mergeCell ref="D50:D52"/>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C90FF3-F13E-48A9-A44C-A611A6F3B5B3}">
  <dimension ref="A1:G65"/>
  <sheetViews>
    <sheetView topLeftCell="A39" zoomScale="55" zoomScaleNormal="55" workbookViewId="0">
      <selection activeCell="E44" sqref="E44:E64"/>
    </sheetView>
  </sheetViews>
  <sheetFormatPr defaultRowHeight="15" x14ac:dyDescent="0.25"/>
  <cols>
    <col min="1" max="1" width="7.42578125" bestFit="1" customWidth="1"/>
    <col min="2" max="2" width="142.5703125" bestFit="1" customWidth="1"/>
    <col min="3" max="3" width="11.140625" bestFit="1" customWidth="1"/>
    <col min="4" max="4" width="9" bestFit="1" customWidth="1"/>
    <col min="5" max="5" width="7.5703125" bestFit="1" customWidth="1"/>
    <col min="6" max="6" width="209.7109375" bestFit="1" customWidth="1"/>
    <col min="7" max="7" width="109.7109375" bestFit="1" customWidth="1"/>
  </cols>
  <sheetData>
    <row r="1" spans="1:7" ht="16.5" x14ac:dyDescent="0.25">
      <c r="A1" s="43" t="s">
        <v>0</v>
      </c>
      <c r="B1" s="120" t="s">
        <v>1</v>
      </c>
      <c r="C1" s="44" t="s">
        <v>2</v>
      </c>
      <c r="D1" s="44" t="s">
        <v>3</v>
      </c>
      <c r="E1" s="44" t="s">
        <v>0</v>
      </c>
      <c r="F1" s="44" t="s">
        <v>4</v>
      </c>
      <c r="G1" s="44" t="s">
        <v>5</v>
      </c>
    </row>
    <row r="2" spans="1:7" ht="16.5" x14ac:dyDescent="0.25">
      <c r="A2" s="45" t="s">
        <v>6</v>
      </c>
      <c r="B2" s="121"/>
      <c r="C2" s="46" t="s">
        <v>7</v>
      </c>
      <c r="D2" s="46" t="s">
        <v>8</v>
      </c>
      <c r="E2" s="46" t="s">
        <v>9</v>
      </c>
      <c r="F2" s="46" t="s">
        <v>10</v>
      </c>
      <c r="G2" s="46" t="s">
        <v>11</v>
      </c>
    </row>
    <row r="3" spans="1:7" ht="17.25" thickBot="1" x14ac:dyDescent="0.3">
      <c r="A3" s="39"/>
      <c r="B3" s="122"/>
      <c r="C3" s="47" t="s">
        <v>12</v>
      </c>
      <c r="D3" s="47" t="s">
        <v>12</v>
      </c>
      <c r="E3" s="47" t="s">
        <v>13</v>
      </c>
      <c r="F3" s="41"/>
      <c r="G3" s="41"/>
    </row>
    <row r="4" spans="1:7" ht="21" x14ac:dyDescent="0.25">
      <c r="A4" s="106" t="s">
        <v>14</v>
      </c>
      <c r="B4" s="8" t="s">
        <v>15</v>
      </c>
      <c r="C4" s="103">
        <v>1</v>
      </c>
      <c r="D4" s="103">
        <v>4</v>
      </c>
      <c r="E4" s="103">
        <v>4</v>
      </c>
      <c r="F4" s="9" t="s">
        <v>16</v>
      </c>
      <c r="G4" s="106" t="s">
        <v>17</v>
      </c>
    </row>
    <row r="5" spans="1:7" ht="21" x14ac:dyDescent="0.25">
      <c r="A5" s="107"/>
      <c r="B5" s="11" t="s">
        <v>18</v>
      </c>
      <c r="C5" s="104"/>
      <c r="D5" s="104"/>
      <c r="E5" s="104"/>
      <c r="F5" s="9" t="s">
        <v>19</v>
      </c>
      <c r="G5" s="107"/>
    </row>
    <row r="6" spans="1:7" ht="16.5" x14ac:dyDescent="0.25">
      <c r="A6" s="107"/>
      <c r="B6" s="13" t="s">
        <v>186</v>
      </c>
      <c r="C6" s="104"/>
      <c r="D6" s="104"/>
      <c r="E6" s="104"/>
      <c r="F6" s="14"/>
      <c r="G6" s="107"/>
    </row>
    <row r="7" spans="1:7" ht="16.5" x14ac:dyDescent="0.25">
      <c r="A7" s="107"/>
      <c r="B7" s="13" t="s">
        <v>21</v>
      </c>
      <c r="C7" s="104"/>
      <c r="D7" s="104"/>
      <c r="E7" s="104"/>
      <c r="F7" s="15"/>
      <c r="G7" s="107"/>
    </row>
    <row r="8" spans="1:7" ht="17.25" thickBot="1" x14ac:dyDescent="0.3">
      <c r="A8" s="108"/>
      <c r="B8" s="16" t="s">
        <v>187</v>
      </c>
      <c r="C8" s="111"/>
      <c r="D8" s="111"/>
      <c r="E8" s="111"/>
      <c r="F8" s="17"/>
      <c r="G8" s="112"/>
    </row>
    <row r="9" spans="1:7" ht="16.5" x14ac:dyDescent="0.25">
      <c r="A9" s="113"/>
      <c r="B9" s="8" t="s">
        <v>23</v>
      </c>
      <c r="C9" s="109">
        <v>1</v>
      </c>
      <c r="D9" s="109">
        <v>4</v>
      </c>
      <c r="E9" s="109">
        <v>3</v>
      </c>
      <c r="F9" s="13" t="s">
        <v>190</v>
      </c>
      <c r="G9" s="110" t="s">
        <v>17</v>
      </c>
    </row>
    <row r="10" spans="1:7" ht="16.5" x14ac:dyDescent="0.25">
      <c r="A10" s="114"/>
      <c r="B10" s="13" t="s">
        <v>188</v>
      </c>
      <c r="C10" s="104"/>
      <c r="D10" s="104"/>
      <c r="E10" s="104"/>
      <c r="F10" s="13" t="s">
        <v>191</v>
      </c>
      <c r="G10" s="107"/>
    </row>
    <row r="11" spans="1:7" ht="16.5" x14ac:dyDescent="0.25">
      <c r="A11" s="114"/>
      <c r="B11" s="13" t="s">
        <v>189</v>
      </c>
      <c r="C11" s="104"/>
      <c r="D11" s="104"/>
      <c r="E11" s="104"/>
      <c r="F11" s="13" t="s">
        <v>192</v>
      </c>
      <c r="G11" s="107"/>
    </row>
    <row r="12" spans="1:7" ht="17.25" thickBot="1" x14ac:dyDescent="0.3">
      <c r="A12" s="115"/>
      <c r="B12" s="16" t="s">
        <v>29</v>
      </c>
      <c r="C12" s="111"/>
      <c r="D12" s="111"/>
      <c r="E12" s="111"/>
      <c r="F12" s="17"/>
      <c r="G12" s="112"/>
    </row>
    <row r="13" spans="1:7" ht="16.5" x14ac:dyDescent="0.25">
      <c r="A13" s="113"/>
      <c r="B13" s="8" t="s">
        <v>30</v>
      </c>
      <c r="C13" s="109">
        <v>1</v>
      </c>
      <c r="D13" s="109">
        <v>3</v>
      </c>
      <c r="E13" s="109">
        <v>3</v>
      </c>
      <c r="F13" s="19" t="s">
        <v>193</v>
      </c>
      <c r="G13" s="110" t="s">
        <v>17</v>
      </c>
    </row>
    <row r="14" spans="1:7" ht="16.5" x14ac:dyDescent="0.25">
      <c r="A14" s="114"/>
      <c r="B14" s="19" t="s">
        <v>32</v>
      </c>
      <c r="C14" s="104"/>
      <c r="D14" s="104"/>
      <c r="E14" s="104"/>
      <c r="F14" s="13" t="s">
        <v>33</v>
      </c>
      <c r="G14" s="107"/>
    </row>
    <row r="15" spans="1:7" ht="17.25" thickBot="1" x14ac:dyDescent="0.3">
      <c r="A15" s="115"/>
      <c r="B15" s="20"/>
      <c r="C15" s="111"/>
      <c r="D15" s="111"/>
      <c r="E15" s="111"/>
      <c r="F15" s="17"/>
      <c r="G15" s="112"/>
    </row>
    <row r="16" spans="1:7" ht="16.5" x14ac:dyDescent="0.25">
      <c r="A16" s="106" t="s">
        <v>34</v>
      </c>
      <c r="B16" s="8" t="s">
        <v>35</v>
      </c>
      <c r="C16" s="109">
        <v>1</v>
      </c>
      <c r="D16" s="109">
        <v>4</v>
      </c>
      <c r="E16" s="109">
        <v>4</v>
      </c>
      <c r="F16" s="19" t="s">
        <v>36</v>
      </c>
      <c r="G16" s="110" t="s">
        <v>17</v>
      </c>
    </row>
    <row r="17" spans="1:7" ht="16.5" x14ac:dyDescent="0.25">
      <c r="A17" s="107"/>
      <c r="B17" s="8" t="s">
        <v>37</v>
      </c>
      <c r="C17" s="104"/>
      <c r="D17" s="104"/>
      <c r="E17" s="104"/>
      <c r="F17" s="19" t="s">
        <v>38</v>
      </c>
      <c r="G17" s="107"/>
    </row>
    <row r="18" spans="1:7" ht="17.25" thickBot="1" x14ac:dyDescent="0.3">
      <c r="A18" s="107"/>
      <c r="B18" s="21" t="s">
        <v>39</v>
      </c>
      <c r="C18" s="111"/>
      <c r="D18" s="111"/>
      <c r="E18" s="111"/>
      <c r="F18" s="17"/>
      <c r="G18" s="112"/>
    </row>
    <row r="19" spans="1:7" ht="81.75" customHeight="1" x14ac:dyDescent="0.25">
      <c r="A19" s="107"/>
      <c r="B19" s="8" t="s">
        <v>40</v>
      </c>
      <c r="C19" s="109">
        <v>1</v>
      </c>
      <c r="D19" s="109">
        <v>4</v>
      </c>
      <c r="E19" s="109">
        <v>4</v>
      </c>
      <c r="F19" s="128" t="s">
        <v>41</v>
      </c>
      <c r="G19" s="110" t="s">
        <v>17</v>
      </c>
    </row>
    <row r="20" spans="1:7" ht="17.25" thickBot="1" x14ac:dyDescent="0.3">
      <c r="A20" s="107"/>
      <c r="B20" s="21" t="s">
        <v>42</v>
      </c>
      <c r="C20" s="111"/>
      <c r="D20" s="111"/>
      <c r="E20" s="111"/>
      <c r="F20" s="129"/>
      <c r="G20" s="112"/>
    </row>
    <row r="21" spans="1:7" ht="16.5" x14ac:dyDescent="0.25">
      <c r="A21" s="107"/>
      <c r="B21" s="8" t="s">
        <v>43</v>
      </c>
      <c r="C21" s="109">
        <v>3</v>
      </c>
      <c r="D21" s="109">
        <v>3</v>
      </c>
      <c r="E21" s="109">
        <v>9</v>
      </c>
      <c r="F21" s="22" t="s">
        <v>44</v>
      </c>
      <c r="G21" s="23" t="s">
        <v>17</v>
      </c>
    </row>
    <row r="22" spans="1:7" ht="16.5" x14ac:dyDescent="0.25">
      <c r="A22" s="107"/>
      <c r="B22" s="22" t="s">
        <v>45</v>
      </c>
      <c r="C22" s="104"/>
      <c r="D22" s="104"/>
      <c r="E22" s="104"/>
      <c r="F22" s="13" t="s">
        <v>194</v>
      </c>
      <c r="G22" s="23" t="s">
        <v>47</v>
      </c>
    </row>
    <row r="23" spans="1:7" ht="17.25" thickBot="1" x14ac:dyDescent="0.3">
      <c r="A23" s="107"/>
      <c r="B23" s="24" t="s">
        <v>48</v>
      </c>
      <c r="C23" s="105"/>
      <c r="D23" s="105"/>
      <c r="E23" s="105"/>
      <c r="F23" s="25"/>
      <c r="G23" s="25"/>
    </row>
    <row r="24" spans="1:7" ht="16.5" x14ac:dyDescent="0.25">
      <c r="A24" s="107"/>
      <c r="B24" s="8" t="s">
        <v>49</v>
      </c>
      <c r="C24" s="103">
        <v>1</v>
      </c>
      <c r="D24" s="103">
        <v>4</v>
      </c>
      <c r="E24" s="103">
        <v>4</v>
      </c>
      <c r="F24" s="22" t="s">
        <v>196</v>
      </c>
      <c r="G24" s="106" t="s">
        <v>17</v>
      </c>
    </row>
    <row r="25" spans="1:7" ht="16.5" x14ac:dyDescent="0.25">
      <c r="A25" s="107"/>
      <c r="B25" s="23" t="s">
        <v>195</v>
      </c>
      <c r="C25" s="104"/>
      <c r="D25" s="104"/>
      <c r="E25" s="104"/>
      <c r="F25" s="13" t="s">
        <v>197</v>
      </c>
      <c r="G25" s="107"/>
    </row>
    <row r="26" spans="1:7" ht="17.25" thickBot="1" x14ac:dyDescent="0.3">
      <c r="A26" s="107"/>
      <c r="B26" s="26"/>
      <c r="C26" s="105"/>
      <c r="D26" s="105"/>
      <c r="E26" s="105"/>
      <c r="F26" s="25"/>
      <c r="G26" s="108"/>
    </row>
    <row r="27" spans="1:7" ht="16.5" x14ac:dyDescent="0.25">
      <c r="A27" s="107"/>
      <c r="B27" s="8" t="s">
        <v>53</v>
      </c>
      <c r="C27" s="103">
        <v>1</v>
      </c>
      <c r="D27" s="103">
        <v>4</v>
      </c>
      <c r="E27" s="103">
        <v>4</v>
      </c>
      <c r="F27" s="13" t="s">
        <v>54</v>
      </c>
      <c r="G27" s="106" t="s">
        <v>47</v>
      </c>
    </row>
    <row r="28" spans="1:7" ht="16.5" x14ac:dyDescent="0.25">
      <c r="A28" s="107"/>
      <c r="B28" s="13" t="s">
        <v>55</v>
      </c>
      <c r="C28" s="104"/>
      <c r="D28" s="104"/>
      <c r="E28" s="104"/>
      <c r="F28" s="13" t="s">
        <v>56</v>
      </c>
      <c r="G28" s="107"/>
    </row>
    <row r="29" spans="1:7" ht="16.5" x14ac:dyDescent="0.25">
      <c r="A29" s="107"/>
      <c r="B29" s="13" t="s">
        <v>57</v>
      </c>
      <c r="C29" s="104"/>
      <c r="D29" s="104"/>
      <c r="E29" s="104"/>
      <c r="F29" s="27" t="s">
        <v>58</v>
      </c>
      <c r="G29" s="107"/>
    </row>
    <row r="30" spans="1:7" ht="17.25" thickBot="1" x14ac:dyDescent="0.3">
      <c r="A30" s="107"/>
      <c r="B30" s="28" t="s">
        <v>198</v>
      </c>
      <c r="C30" s="105"/>
      <c r="D30" s="105"/>
      <c r="E30" s="105"/>
      <c r="F30" s="25"/>
      <c r="G30" s="108"/>
    </row>
    <row r="31" spans="1:7" ht="16.5" x14ac:dyDescent="0.25">
      <c r="A31" s="107"/>
      <c r="B31" s="8" t="s">
        <v>60</v>
      </c>
      <c r="C31" s="103">
        <v>1</v>
      </c>
      <c r="D31" s="103">
        <v>4</v>
      </c>
      <c r="E31" s="103">
        <v>4</v>
      </c>
      <c r="F31" s="155" t="s">
        <v>201</v>
      </c>
      <c r="G31" s="106" t="s">
        <v>47</v>
      </c>
    </row>
    <row r="32" spans="1:7" ht="16.5" x14ac:dyDescent="0.25">
      <c r="A32" s="107"/>
      <c r="B32" s="22" t="s">
        <v>199</v>
      </c>
      <c r="C32" s="104"/>
      <c r="D32" s="104"/>
      <c r="E32" s="104"/>
      <c r="F32" s="156"/>
      <c r="G32" s="107"/>
    </row>
    <row r="33" spans="1:7" ht="17.25" thickBot="1" x14ac:dyDescent="0.3">
      <c r="A33" s="108"/>
      <c r="B33" s="24" t="s">
        <v>200</v>
      </c>
      <c r="C33" s="105"/>
      <c r="D33" s="105"/>
      <c r="E33" s="105"/>
      <c r="F33" s="157"/>
      <c r="G33" s="108"/>
    </row>
    <row r="34" spans="1:7" ht="16.5" x14ac:dyDescent="0.25">
      <c r="A34" s="106" t="s">
        <v>34</v>
      </c>
      <c r="B34" s="8" t="s">
        <v>64</v>
      </c>
      <c r="C34" s="103">
        <v>2</v>
      </c>
      <c r="D34" s="103">
        <v>4</v>
      </c>
      <c r="E34" s="103">
        <v>4</v>
      </c>
      <c r="F34" s="22" t="s">
        <v>204</v>
      </c>
      <c r="G34" s="106" t="s">
        <v>206</v>
      </c>
    </row>
    <row r="35" spans="1:7" ht="16.5" x14ac:dyDescent="0.25">
      <c r="A35" s="107"/>
      <c r="B35" s="8" t="s">
        <v>67</v>
      </c>
      <c r="C35" s="104"/>
      <c r="D35" s="104"/>
      <c r="E35" s="104"/>
      <c r="F35" s="27" t="s">
        <v>205</v>
      </c>
      <c r="G35" s="107"/>
    </row>
    <row r="36" spans="1:7" ht="33" x14ac:dyDescent="0.25">
      <c r="A36" s="107"/>
      <c r="B36" s="22" t="s">
        <v>202</v>
      </c>
      <c r="C36" s="104"/>
      <c r="D36" s="104"/>
      <c r="E36" s="104"/>
      <c r="F36" s="15"/>
      <c r="G36" s="107"/>
    </row>
    <row r="37" spans="1:7" ht="33.75" thickBot="1" x14ac:dyDescent="0.3">
      <c r="A37" s="107"/>
      <c r="B37" s="29" t="s">
        <v>203</v>
      </c>
      <c r="C37" s="111"/>
      <c r="D37" s="111"/>
      <c r="E37" s="111"/>
      <c r="F37" s="17"/>
      <c r="G37" s="112"/>
    </row>
    <row r="38" spans="1:7" ht="16.5" x14ac:dyDescent="0.25">
      <c r="A38" s="107"/>
      <c r="B38" s="8" t="s">
        <v>71</v>
      </c>
      <c r="C38" s="109">
        <v>2</v>
      </c>
      <c r="D38" s="109">
        <v>4</v>
      </c>
      <c r="E38" s="109">
        <v>8</v>
      </c>
      <c r="F38" s="13" t="s">
        <v>207</v>
      </c>
      <c r="G38" s="110" t="s">
        <v>17</v>
      </c>
    </row>
    <row r="39" spans="1:7" ht="16.5" x14ac:dyDescent="0.25">
      <c r="A39" s="107"/>
      <c r="B39" s="22" t="s">
        <v>73</v>
      </c>
      <c r="C39" s="104"/>
      <c r="D39" s="104"/>
      <c r="E39" s="104"/>
      <c r="F39" s="13" t="s">
        <v>208</v>
      </c>
      <c r="G39" s="107"/>
    </row>
    <row r="40" spans="1:7" ht="17.25" thickBot="1" x14ac:dyDescent="0.3">
      <c r="A40" s="107"/>
      <c r="B40" s="16" t="s">
        <v>75</v>
      </c>
      <c r="C40" s="111"/>
      <c r="D40" s="111"/>
      <c r="E40" s="111"/>
      <c r="F40" s="17"/>
      <c r="G40" s="112"/>
    </row>
    <row r="41" spans="1:7" ht="16.5" x14ac:dyDescent="0.25">
      <c r="A41" s="107"/>
      <c r="B41" s="8" t="s">
        <v>76</v>
      </c>
      <c r="C41" s="109">
        <v>1</v>
      </c>
      <c r="D41" s="109">
        <v>4</v>
      </c>
      <c r="E41" s="109">
        <v>4</v>
      </c>
      <c r="F41" s="19" t="s">
        <v>77</v>
      </c>
      <c r="G41" s="110" t="s">
        <v>47</v>
      </c>
    </row>
    <row r="42" spans="1:7" ht="16.5" x14ac:dyDescent="0.25">
      <c r="A42" s="107"/>
      <c r="B42" s="22" t="s">
        <v>78</v>
      </c>
      <c r="C42" s="104"/>
      <c r="D42" s="104"/>
      <c r="E42" s="104"/>
      <c r="F42" s="19" t="s">
        <v>79</v>
      </c>
      <c r="G42" s="107"/>
    </row>
    <row r="43" spans="1:7" ht="17.25" thickBot="1" x14ac:dyDescent="0.3">
      <c r="A43" s="108"/>
      <c r="B43" s="29" t="s">
        <v>80</v>
      </c>
      <c r="C43" s="111"/>
      <c r="D43" s="111"/>
      <c r="E43" s="111"/>
      <c r="F43" s="17"/>
      <c r="G43" s="112"/>
    </row>
    <row r="44" spans="1:7" ht="16.5" x14ac:dyDescent="0.25">
      <c r="A44" s="106" t="s">
        <v>81</v>
      </c>
      <c r="B44" s="8" t="s">
        <v>82</v>
      </c>
      <c r="C44" s="109">
        <v>1</v>
      </c>
      <c r="D44" s="109">
        <v>4</v>
      </c>
      <c r="E44" s="109">
        <v>4</v>
      </c>
      <c r="F44" s="13" t="s">
        <v>211</v>
      </c>
      <c r="G44" s="110" t="s">
        <v>47</v>
      </c>
    </row>
    <row r="45" spans="1:7" ht="16.5" x14ac:dyDescent="0.25">
      <c r="A45" s="107"/>
      <c r="B45" s="8" t="s">
        <v>84</v>
      </c>
      <c r="C45" s="104"/>
      <c r="D45" s="104"/>
      <c r="E45" s="104"/>
      <c r="F45" s="13" t="s">
        <v>85</v>
      </c>
      <c r="G45" s="107"/>
    </row>
    <row r="46" spans="1:7" ht="16.5" x14ac:dyDescent="0.25">
      <c r="A46" s="107"/>
      <c r="B46" s="13" t="s">
        <v>209</v>
      </c>
      <c r="C46" s="104"/>
      <c r="D46" s="104"/>
      <c r="E46" s="104"/>
      <c r="F46" s="19"/>
      <c r="G46" s="107"/>
    </row>
    <row r="47" spans="1:7" ht="17.25" thickBot="1" x14ac:dyDescent="0.3">
      <c r="A47" s="107"/>
      <c r="B47" s="28" t="s">
        <v>210</v>
      </c>
      <c r="C47" s="105"/>
      <c r="D47" s="105"/>
      <c r="E47" s="105"/>
      <c r="F47" s="25"/>
      <c r="G47" s="108"/>
    </row>
    <row r="48" spans="1:7" ht="16.5" x14ac:dyDescent="0.25">
      <c r="A48" s="107"/>
      <c r="B48" s="8" t="s">
        <v>88</v>
      </c>
      <c r="C48" s="103">
        <v>2</v>
      </c>
      <c r="D48" s="103">
        <v>4</v>
      </c>
      <c r="E48" s="103">
        <v>8</v>
      </c>
      <c r="F48" s="13" t="s">
        <v>213</v>
      </c>
      <c r="G48" s="106" t="s">
        <v>47</v>
      </c>
    </row>
    <row r="49" spans="1:7" ht="16.5" x14ac:dyDescent="0.25">
      <c r="A49" s="107"/>
      <c r="B49" s="13" t="s">
        <v>212</v>
      </c>
      <c r="C49" s="104"/>
      <c r="D49" s="104"/>
      <c r="E49" s="104"/>
      <c r="F49" s="13" t="s">
        <v>91</v>
      </c>
      <c r="G49" s="107"/>
    </row>
    <row r="50" spans="1:7" ht="17.25" thickBot="1" x14ac:dyDescent="0.3">
      <c r="A50" s="107"/>
      <c r="B50" s="28" t="s">
        <v>92</v>
      </c>
      <c r="C50" s="105"/>
      <c r="D50" s="105"/>
      <c r="E50" s="105"/>
      <c r="F50" s="25"/>
      <c r="G50" s="108"/>
    </row>
    <row r="51" spans="1:7" ht="16.5" x14ac:dyDescent="0.25">
      <c r="A51" s="107"/>
      <c r="B51" s="8" t="s">
        <v>93</v>
      </c>
      <c r="C51" s="103">
        <v>1</v>
      </c>
      <c r="D51" s="103">
        <v>3</v>
      </c>
      <c r="E51" s="103">
        <v>3</v>
      </c>
      <c r="F51" s="13" t="s">
        <v>216</v>
      </c>
      <c r="G51" s="106" t="s">
        <v>95</v>
      </c>
    </row>
    <row r="52" spans="1:7" ht="16.5" x14ac:dyDescent="0.25">
      <c r="A52" s="107"/>
      <c r="B52" s="13" t="s">
        <v>214</v>
      </c>
      <c r="C52" s="104"/>
      <c r="D52" s="104"/>
      <c r="E52" s="104"/>
      <c r="F52" s="13" t="s">
        <v>97</v>
      </c>
      <c r="G52" s="107"/>
    </row>
    <row r="53" spans="1:7" ht="17.25" thickBot="1" x14ac:dyDescent="0.3">
      <c r="A53" s="108"/>
      <c r="B53" s="28" t="s">
        <v>215</v>
      </c>
      <c r="C53" s="105"/>
      <c r="D53" s="105"/>
      <c r="E53" s="105"/>
      <c r="F53" s="25"/>
      <c r="G53" s="108"/>
    </row>
    <row r="54" spans="1:7" ht="16.5" x14ac:dyDescent="0.25">
      <c r="A54" s="106" t="s">
        <v>99</v>
      </c>
      <c r="B54" s="30" t="s">
        <v>217</v>
      </c>
      <c r="C54" s="103">
        <v>1</v>
      </c>
      <c r="D54" s="103">
        <v>4</v>
      </c>
      <c r="E54" s="103">
        <v>4</v>
      </c>
      <c r="F54" s="19" t="s">
        <v>101</v>
      </c>
      <c r="G54" s="106" t="s">
        <v>102</v>
      </c>
    </row>
    <row r="55" spans="1:7" ht="16.5" x14ac:dyDescent="0.25">
      <c r="A55" s="107"/>
      <c r="B55" s="19" t="s">
        <v>103</v>
      </c>
      <c r="C55" s="104"/>
      <c r="D55" s="104"/>
      <c r="E55" s="104"/>
      <c r="F55" s="19" t="s">
        <v>104</v>
      </c>
      <c r="G55" s="107"/>
    </row>
    <row r="56" spans="1:7" ht="16.5" x14ac:dyDescent="0.25">
      <c r="A56" s="107"/>
      <c r="B56" s="19" t="s">
        <v>105</v>
      </c>
      <c r="C56" s="104"/>
      <c r="D56" s="104"/>
      <c r="E56" s="104"/>
      <c r="F56" s="19" t="s">
        <v>106</v>
      </c>
      <c r="G56" s="107"/>
    </row>
    <row r="57" spans="1:7" ht="16.5" x14ac:dyDescent="0.25">
      <c r="A57" s="107"/>
      <c r="B57" s="19" t="s">
        <v>107</v>
      </c>
      <c r="C57" s="104"/>
      <c r="D57" s="104"/>
      <c r="E57" s="104"/>
      <c r="F57" s="19" t="s">
        <v>108</v>
      </c>
      <c r="G57" s="107"/>
    </row>
    <row r="58" spans="1:7" ht="16.5" x14ac:dyDescent="0.25">
      <c r="A58" s="107"/>
      <c r="B58" s="19" t="s">
        <v>109</v>
      </c>
      <c r="C58" s="104"/>
      <c r="D58" s="104"/>
      <c r="E58" s="104"/>
      <c r="F58" s="19" t="s">
        <v>110</v>
      </c>
      <c r="G58" s="107"/>
    </row>
    <row r="59" spans="1:7" ht="16.5" x14ac:dyDescent="0.25">
      <c r="A59" s="107"/>
      <c r="B59" s="19" t="s">
        <v>111</v>
      </c>
      <c r="C59" s="104"/>
      <c r="D59" s="104"/>
      <c r="E59" s="104"/>
      <c r="F59" s="19" t="s">
        <v>112</v>
      </c>
      <c r="G59" s="107"/>
    </row>
    <row r="60" spans="1:7" ht="16.5" x14ac:dyDescent="0.25">
      <c r="A60" s="107"/>
      <c r="B60" s="19" t="s">
        <v>113</v>
      </c>
      <c r="C60" s="104"/>
      <c r="D60" s="104"/>
      <c r="E60" s="104"/>
      <c r="F60" s="19" t="s">
        <v>114</v>
      </c>
      <c r="G60" s="107"/>
    </row>
    <row r="61" spans="1:7" ht="16.5" x14ac:dyDescent="0.25">
      <c r="A61" s="107"/>
      <c r="B61" s="19" t="s">
        <v>115</v>
      </c>
      <c r="C61" s="104"/>
      <c r="D61" s="104"/>
      <c r="E61" s="104"/>
      <c r="F61" s="19" t="s">
        <v>116</v>
      </c>
      <c r="G61" s="107"/>
    </row>
    <row r="62" spans="1:7" ht="16.5" x14ac:dyDescent="0.25">
      <c r="A62" s="107"/>
      <c r="B62" s="19" t="s">
        <v>117</v>
      </c>
      <c r="C62" s="104"/>
      <c r="D62" s="104"/>
      <c r="E62" s="104"/>
      <c r="F62" s="19" t="s">
        <v>118</v>
      </c>
      <c r="G62" s="107"/>
    </row>
    <row r="63" spans="1:7" ht="16.5" x14ac:dyDescent="0.25">
      <c r="A63" s="107"/>
      <c r="B63" s="19" t="s">
        <v>119</v>
      </c>
      <c r="C63" s="104"/>
      <c r="D63" s="104"/>
      <c r="E63" s="104"/>
      <c r="F63" s="19" t="s">
        <v>120</v>
      </c>
      <c r="G63" s="107"/>
    </row>
    <row r="64" spans="1:7" ht="17.25" thickBot="1" x14ac:dyDescent="0.3">
      <c r="A64" s="108"/>
      <c r="B64" s="25"/>
      <c r="C64" s="105"/>
      <c r="D64" s="105"/>
      <c r="E64" s="105"/>
      <c r="F64" s="31"/>
      <c r="G64" s="108"/>
    </row>
    <row r="65" spans="1:7" ht="17.25" thickBot="1" x14ac:dyDescent="0.3">
      <c r="A65" s="18"/>
      <c r="B65" s="100" t="s">
        <v>121</v>
      </c>
      <c r="C65" s="101"/>
      <c r="D65" s="102"/>
      <c r="E65" s="32">
        <v>74</v>
      </c>
      <c r="F65" s="33"/>
      <c r="G65" s="34"/>
    </row>
  </sheetData>
  <mergeCells count="74">
    <mergeCell ref="A54:A64"/>
    <mergeCell ref="C54:C64"/>
    <mergeCell ref="D54:D64"/>
    <mergeCell ref="E54:E64"/>
    <mergeCell ref="G54:G64"/>
    <mergeCell ref="B65:D65"/>
    <mergeCell ref="E48:E50"/>
    <mergeCell ref="G48:G50"/>
    <mergeCell ref="C51:C53"/>
    <mergeCell ref="D51:D53"/>
    <mergeCell ref="E51:E53"/>
    <mergeCell ref="G51:G53"/>
    <mergeCell ref="G41:G43"/>
    <mergeCell ref="A44:A53"/>
    <mergeCell ref="C44:C47"/>
    <mergeCell ref="D44:D47"/>
    <mergeCell ref="E44:E47"/>
    <mergeCell ref="G44:G47"/>
    <mergeCell ref="C48:C50"/>
    <mergeCell ref="D48:D50"/>
    <mergeCell ref="A34:A43"/>
    <mergeCell ref="C34:C37"/>
    <mergeCell ref="D34:D37"/>
    <mergeCell ref="E34:E37"/>
    <mergeCell ref="G34:G37"/>
    <mergeCell ref="C38:C40"/>
    <mergeCell ref="D38:D40"/>
    <mergeCell ref="E38:E40"/>
    <mergeCell ref="G38:G40"/>
    <mergeCell ref="C41:C43"/>
    <mergeCell ref="G24:G26"/>
    <mergeCell ref="C27:C30"/>
    <mergeCell ref="D27:D30"/>
    <mergeCell ref="E27:E30"/>
    <mergeCell ref="G27:G30"/>
    <mergeCell ref="C31:C33"/>
    <mergeCell ref="D31:D33"/>
    <mergeCell ref="E31:E33"/>
    <mergeCell ref="F31:F33"/>
    <mergeCell ref="G31:G33"/>
    <mergeCell ref="D41:D43"/>
    <mergeCell ref="E41:E43"/>
    <mergeCell ref="A16:A33"/>
    <mergeCell ref="C16:C18"/>
    <mergeCell ref="D16:D18"/>
    <mergeCell ref="E16:E18"/>
    <mergeCell ref="G16:G18"/>
    <mergeCell ref="C19:C20"/>
    <mergeCell ref="D19:D20"/>
    <mergeCell ref="E19:E20"/>
    <mergeCell ref="F19:F20"/>
    <mergeCell ref="G19:G20"/>
    <mergeCell ref="C21:C23"/>
    <mergeCell ref="D21:D23"/>
    <mergeCell ref="E21:E23"/>
    <mergeCell ref="C24:C26"/>
    <mergeCell ref="D24:D26"/>
    <mergeCell ref="E24:E26"/>
    <mergeCell ref="A9:A12"/>
    <mergeCell ref="C9:C12"/>
    <mergeCell ref="D9:D12"/>
    <mergeCell ref="E9:E12"/>
    <mergeCell ref="G9:G12"/>
    <mergeCell ref="A13:A15"/>
    <mergeCell ref="C13:C15"/>
    <mergeCell ref="D13:D15"/>
    <mergeCell ref="E13:E15"/>
    <mergeCell ref="G13:G15"/>
    <mergeCell ref="G4:G8"/>
    <mergeCell ref="B1:B3"/>
    <mergeCell ref="A4:A8"/>
    <mergeCell ref="C4:C8"/>
    <mergeCell ref="D4:D8"/>
    <mergeCell ref="E4:E8"/>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5F1B1F-65FA-4E74-99ED-7977DDA3494B}">
  <dimension ref="A1:G67"/>
  <sheetViews>
    <sheetView topLeftCell="A25" zoomScale="55" zoomScaleNormal="55" workbookViewId="0">
      <selection activeCell="E46" sqref="E46:E66"/>
    </sheetView>
  </sheetViews>
  <sheetFormatPr defaultRowHeight="15" x14ac:dyDescent="0.25"/>
  <cols>
    <col min="1" max="1" width="6.85546875" bestFit="1" customWidth="1"/>
    <col min="2" max="2" width="188.85546875" bestFit="1" customWidth="1"/>
    <col min="3" max="3" width="12.7109375" bestFit="1" customWidth="1"/>
    <col min="4" max="4" width="10.140625" bestFit="1" customWidth="1"/>
    <col min="5" max="5" width="8.42578125" bestFit="1" customWidth="1"/>
    <col min="6" max="6" width="212.42578125" bestFit="1" customWidth="1"/>
    <col min="7" max="7" width="112.28515625" bestFit="1" customWidth="1"/>
  </cols>
  <sheetData>
    <row r="1" spans="1:7" ht="16.5" x14ac:dyDescent="0.25">
      <c r="A1" s="35" t="s">
        <v>0</v>
      </c>
      <c r="B1" s="146" t="s">
        <v>1</v>
      </c>
      <c r="C1" s="36" t="s">
        <v>2</v>
      </c>
      <c r="D1" s="36" t="s">
        <v>3</v>
      </c>
      <c r="E1" s="36" t="s">
        <v>0</v>
      </c>
      <c r="F1" s="36" t="s">
        <v>4</v>
      </c>
      <c r="G1" s="36" t="s">
        <v>5</v>
      </c>
    </row>
    <row r="2" spans="1:7" ht="16.5" x14ac:dyDescent="0.25">
      <c r="A2" s="37" t="s">
        <v>6</v>
      </c>
      <c r="B2" s="147"/>
      <c r="C2" s="38" t="s">
        <v>7</v>
      </c>
      <c r="D2" s="38" t="s">
        <v>8</v>
      </c>
      <c r="E2" s="38" t="s">
        <v>9</v>
      </c>
      <c r="F2" s="38" t="s">
        <v>10</v>
      </c>
      <c r="G2" s="38" t="s">
        <v>11</v>
      </c>
    </row>
    <row r="3" spans="1:7" ht="17.25" thickBot="1" x14ac:dyDescent="0.3">
      <c r="A3" s="39"/>
      <c r="B3" s="148"/>
      <c r="C3" s="40" t="s">
        <v>12</v>
      </c>
      <c r="D3" s="40" t="s">
        <v>12</v>
      </c>
      <c r="E3" s="40" t="s">
        <v>13</v>
      </c>
      <c r="F3" s="41"/>
      <c r="G3" s="41"/>
    </row>
    <row r="4" spans="1:7" ht="21" x14ac:dyDescent="0.25">
      <c r="A4" s="106" t="s">
        <v>14</v>
      </c>
      <c r="B4" s="8" t="s">
        <v>15</v>
      </c>
      <c r="C4" s="103">
        <v>2</v>
      </c>
      <c r="D4" s="103">
        <v>3</v>
      </c>
      <c r="E4" s="103">
        <v>6</v>
      </c>
      <c r="F4" s="9" t="s">
        <v>219</v>
      </c>
      <c r="G4" s="23" t="s">
        <v>17</v>
      </c>
    </row>
    <row r="5" spans="1:7" ht="21" x14ac:dyDescent="0.25">
      <c r="A5" s="107"/>
      <c r="B5" s="8" t="s">
        <v>122</v>
      </c>
      <c r="C5" s="104"/>
      <c r="D5" s="104"/>
      <c r="E5" s="104"/>
      <c r="F5" s="9" t="s">
        <v>125</v>
      </c>
      <c r="G5" s="23" t="s">
        <v>47</v>
      </c>
    </row>
    <row r="6" spans="1:7" ht="21.75" thickBot="1" x14ac:dyDescent="0.3">
      <c r="A6" s="107"/>
      <c r="B6" s="16" t="s">
        <v>218</v>
      </c>
      <c r="C6" s="111"/>
      <c r="D6" s="111"/>
      <c r="E6" s="111"/>
      <c r="F6" s="42" t="s">
        <v>220</v>
      </c>
      <c r="G6" s="17"/>
    </row>
    <row r="7" spans="1:7" ht="21" x14ac:dyDescent="0.25">
      <c r="A7" s="107"/>
      <c r="B7" s="8" t="s">
        <v>127</v>
      </c>
      <c r="C7" s="109">
        <v>1</v>
      </c>
      <c r="D7" s="109">
        <v>3</v>
      </c>
      <c r="E7" s="109">
        <v>3</v>
      </c>
      <c r="F7" s="9" t="s">
        <v>219</v>
      </c>
      <c r="G7" s="23" t="s">
        <v>17</v>
      </c>
    </row>
    <row r="8" spans="1:7" ht="21" x14ac:dyDescent="0.25">
      <c r="A8" s="107"/>
      <c r="B8" s="13" t="s">
        <v>221</v>
      </c>
      <c r="C8" s="104"/>
      <c r="D8" s="104"/>
      <c r="E8" s="104"/>
      <c r="F8" s="9" t="s">
        <v>125</v>
      </c>
      <c r="G8" s="23" t="s">
        <v>47</v>
      </c>
    </row>
    <row r="9" spans="1:7" ht="21.75" thickBot="1" x14ac:dyDescent="0.3">
      <c r="A9" s="108"/>
      <c r="B9" s="20"/>
      <c r="C9" s="111"/>
      <c r="D9" s="111"/>
      <c r="E9" s="111"/>
      <c r="F9" s="42" t="s">
        <v>129</v>
      </c>
      <c r="G9" s="17"/>
    </row>
    <row r="10" spans="1:7" ht="16.5" x14ac:dyDescent="0.25">
      <c r="A10" s="106" t="s">
        <v>34</v>
      </c>
      <c r="B10" s="8" t="s">
        <v>35</v>
      </c>
      <c r="C10" s="109">
        <v>1</v>
      </c>
      <c r="D10" s="109">
        <v>4</v>
      </c>
      <c r="E10" s="109">
        <v>4</v>
      </c>
      <c r="F10" s="19" t="s">
        <v>130</v>
      </c>
      <c r="G10" s="110" t="s">
        <v>17</v>
      </c>
    </row>
    <row r="11" spans="1:7" ht="16.5" x14ac:dyDescent="0.25">
      <c r="A11" s="107"/>
      <c r="B11" s="8" t="s">
        <v>37</v>
      </c>
      <c r="C11" s="104"/>
      <c r="D11" s="104"/>
      <c r="E11" s="104"/>
      <c r="F11" s="19" t="s">
        <v>131</v>
      </c>
      <c r="G11" s="107"/>
    </row>
    <row r="12" spans="1:7" ht="17.25" thickBot="1" x14ac:dyDescent="0.3">
      <c r="A12" s="107"/>
      <c r="B12" s="21" t="s">
        <v>39</v>
      </c>
      <c r="C12" s="111"/>
      <c r="D12" s="111"/>
      <c r="E12" s="111"/>
      <c r="F12" s="17"/>
      <c r="G12" s="112"/>
    </row>
    <row r="13" spans="1:7" ht="81.75" customHeight="1" x14ac:dyDescent="0.25">
      <c r="A13" s="107"/>
      <c r="B13" s="8" t="s">
        <v>40</v>
      </c>
      <c r="C13" s="109">
        <v>1</v>
      </c>
      <c r="D13" s="109">
        <v>4</v>
      </c>
      <c r="E13" s="109">
        <v>4</v>
      </c>
      <c r="F13" s="116" t="s">
        <v>132</v>
      </c>
      <c r="G13" s="110" t="s">
        <v>17</v>
      </c>
    </row>
    <row r="14" spans="1:7" ht="17.25" thickBot="1" x14ac:dyDescent="0.3">
      <c r="A14" s="107"/>
      <c r="B14" s="21" t="s">
        <v>42</v>
      </c>
      <c r="C14" s="111"/>
      <c r="D14" s="111"/>
      <c r="E14" s="111"/>
      <c r="F14" s="119"/>
      <c r="G14" s="112"/>
    </row>
    <row r="15" spans="1:7" ht="16.5" x14ac:dyDescent="0.25">
      <c r="A15" s="107"/>
      <c r="B15" s="8" t="s">
        <v>133</v>
      </c>
      <c r="C15" s="109">
        <v>1</v>
      </c>
      <c r="D15" s="109">
        <v>4</v>
      </c>
      <c r="E15" s="109">
        <v>4</v>
      </c>
      <c r="F15" s="19" t="s">
        <v>222</v>
      </c>
      <c r="G15" s="110" t="s">
        <v>17</v>
      </c>
    </row>
    <row r="16" spans="1:7" ht="16.5" x14ac:dyDescent="0.25">
      <c r="A16" s="107"/>
      <c r="B16" s="13" t="s">
        <v>134</v>
      </c>
      <c r="C16" s="104"/>
      <c r="D16" s="104"/>
      <c r="E16" s="104"/>
      <c r="F16" s="13" t="s">
        <v>223</v>
      </c>
      <c r="G16" s="107"/>
    </row>
    <row r="17" spans="1:7" ht="16.5" x14ac:dyDescent="0.25">
      <c r="A17" s="107"/>
      <c r="B17" s="48"/>
      <c r="C17" s="104"/>
      <c r="D17" s="104"/>
      <c r="E17" s="104"/>
      <c r="F17" s="15"/>
      <c r="G17" s="107"/>
    </row>
    <row r="18" spans="1:7" x14ac:dyDescent="0.25">
      <c r="A18" s="107"/>
      <c r="B18" s="15"/>
      <c r="C18" s="104"/>
      <c r="D18" s="104"/>
      <c r="E18" s="104"/>
      <c r="F18" s="15"/>
      <c r="G18" s="107"/>
    </row>
    <row r="19" spans="1:7" x14ac:dyDescent="0.25">
      <c r="A19" s="107"/>
      <c r="B19" s="15"/>
      <c r="C19" s="104"/>
      <c r="D19" s="104"/>
      <c r="E19" s="104"/>
      <c r="F19" s="15"/>
      <c r="G19" s="107"/>
    </row>
    <row r="20" spans="1:7" x14ac:dyDescent="0.25">
      <c r="A20" s="107"/>
      <c r="B20" s="15"/>
      <c r="C20" s="104"/>
      <c r="D20" s="104"/>
      <c r="E20" s="104"/>
      <c r="F20" s="15"/>
      <c r="G20" s="107"/>
    </row>
    <row r="21" spans="1:7" ht="15.75" thickBot="1" x14ac:dyDescent="0.3">
      <c r="A21" s="107"/>
      <c r="B21" s="17"/>
      <c r="C21" s="111"/>
      <c r="D21" s="111"/>
      <c r="E21" s="111"/>
      <c r="F21" s="17"/>
      <c r="G21" s="112"/>
    </row>
    <row r="22" spans="1:7" ht="16.5" x14ac:dyDescent="0.25">
      <c r="A22" s="107"/>
      <c r="B22" s="8" t="s">
        <v>137</v>
      </c>
      <c r="C22" s="109">
        <v>2</v>
      </c>
      <c r="D22" s="109">
        <v>4</v>
      </c>
      <c r="E22" s="109">
        <v>8</v>
      </c>
      <c r="F22" s="13" t="s">
        <v>54</v>
      </c>
      <c r="G22" s="110" t="s">
        <v>47</v>
      </c>
    </row>
    <row r="23" spans="1:7" ht="16.5" x14ac:dyDescent="0.25">
      <c r="A23" s="107"/>
      <c r="B23" s="13" t="s">
        <v>55</v>
      </c>
      <c r="C23" s="104"/>
      <c r="D23" s="104"/>
      <c r="E23" s="104"/>
      <c r="F23" s="13" t="s">
        <v>56</v>
      </c>
      <c r="G23" s="107"/>
    </row>
    <row r="24" spans="1:7" ht="16.5" x14ac:dyDescent="0.25">
      <c r="A24" s="107"/>
      <c r="B24" s="13" t="s">
        <v>57</v>
      </c>
      <c r="C24" s="104"/>
      <c r="D24" s="104"/>
      <c r="E24" s="104"/>
      <c r="F24" s="13" t="s">
        <v>139</v>
      </c>
      <c r="G24" s="107"/>
    </row>
    <row r="25" spans="1:7" ht="17.25" thickBot="1" x14ac:dyDescent="0.3">
      <c r="A25" s="107"/>
      <c r="B25" s="16" t="s">
        <v>224</v>
      </c>
      <c r="C25" s="111"/>
      <c r="D25" s="111"/>
      <c r="E25" s="111"/>
      <c r="F25" s="17"/>
      <c r="G25" s="112"/>
    </row>
    <row r="26" spans="1:7" ht="17.25" x14ac:dyDescent="0.25">
      <c r="A26" s="107"/>
      <c r="B26" s="8" t="s">
        <v>225</v>
      </c>
      <c r="C26" s="109">
        <v>3</v>
      </c>
      <c r="D26" s="109">
        <v>4</v>
      </c>
      <c r="E26" s="109">
        <v>12</v>
      </c>
      <c r="F26" s="49" t="s">
        <v>228</v>
      </c>
      <c r="G26" s="23" t="s">
        <v>17</v>
      </c>
    </row>
    <row r="27" spans="1:7" ht="17.25" x14ac:dyDescent="0.25">
      <c r="A27" s="107"/>
      <c r="B27" s="13" t="s">
        <v>226</v>
      </c>
      <c r="C27" s="104"/>
      <c r="D27" s="104"/>
      <c r="E27" s="104"/>
      <c r="F27" s="49" t="s">
        <v>229</v>
      </c>
      <c r="G27" s="23" t="s">
        <v>47</v>
      </c>
    </row>
    <row r="28" spans="1:7" ht="16.5" x14ac:dyDescent="0.25">
      <c r="A28" s="107"/>
      <c r="B28" s="13" t="s">
        <v>227</v>
      </c>
      <c r="C28" s="104"/>
      <c r="D28" s="104"/>
      <c r="E28" s="104"/>
      <c r="F28" s="13" t="s">
        <v>230</v>
      </c>
      <c r="G28" s="15"/>
    </row>
    <row r="29" spans="1:7" ht="17.25" thickBot="1" x14ac:dyDescent="0.3">
      <c r="A29" s="107"/>
      <c r="B29" s="25"/>
      <c r="C29" s="105"/>
      <c r="D29" s="105"/>
      <c r="E29" s="105"/>
      <c r="F29" s="28" t="s">
        <v>231</v>
      </c>
      <c r="G29" s="25"/>
    </row>
    <row r="30" spans="1:7" ht="16.5" x14ac:dyDescent="0.25">
      <c r="A30" s="107"/>
      <c r="B30" s="8" t="s">
        <v>232</v>
      </c>
      <c r="C30" s="103">
        <v>1</v>
      </c>
      <c r="D30" s="103">
        <v>3</v>
      </c>
      <c r="E30" s="103">
        <v>3</v>
      </c>
      <c r="F30" s="13" t="s">
        <v>148</v>
      </c>
      <c r="G30" s="106" t="s">
        <v>47</v>
      </c>
    </row>
    <row r="31" spans="1:7" ht="16.5" x14ac:dyDescent="0.25">
      <c r="A31" s="107"/>
      <c r="B31" s="13" t="s">
        <v>233</v>
      </c>
      <c r="C31" s="104"/>
      <c r="D31" s="104"/>
      <c r="E31" s="104"/>
      <c r="F31" s="13" t="s">
        <v>235</v>
      </c>
      <c r="G31" s="107"/>
    </row>
    <row r="32" spans="1:7" ht="17.25" thickBot="1" x14ac:dyDescent="0.3">
      <c r="A32" s="108"/>
      <c r="B32" s="28" t="s">
        <v>234</v>
      </c>
      <c r="C32" s="105"/>
      <c r="D32" s="105"/>
      <c r="E32" s="105"/>
      <c r="F32" s="25"/>
      <c r="G32" s="108"/>
    </row>
    <row r="33" spans="1:7" ht="16.5" x14ac:dyDescent="0.25">
      <c r="A33" s="106" t="s">
        <v>81</v>
      </c>
      <c r="B33" s="8" t="s">
        <v>150</v>
      </c>
      <c r="C33" s="103">
        <v>3</v>
      </c>
      <c r="D33" s="103">
        <v>3</v>
      </c>
      <c r="E33" s="103">
        <v>9</v>
      </c>
      <c r="F33" s="13" t="s">
        <v>238</v>
      </c>
      <c r="G33" s="106" t="s">
        <v>240</v>
      </c>
    </row>
    <row r="34" spans="1:7" ht="16.5" x14ac:dyDescent="0.25">
      <c r="A34" s="107"/>
      <c r="B34" s="8" t="s">
        <v>236</v>
      </c>
      <c r="C34" s="104"/>
      <c r="D34" s="104"/>
      <c r="E34" s="104"/>
      <c r="F34" s="13" t="s">
        <v>154</v>
      </c>
      <c r="G34" s="107"/>
    </row>
    <row r="35" spans="1:7" ht="17.25" thickBot="1" x14ac:dyDescent="0.3">
      <c r="A35" s="107"/>
      <c r="B35" s="16" t="s">
        <v>237</v>
      </c>
      <c r="C35" s="111"/>
      <c r="D35" s="111"/>
      <c r="E35" s="111"/>
      <c r="F35" s="16" t="s">
        <v>239</v>
      </c>
      <c r="G35" s="112"/>
    </row>
    <row r="36" spans="1:7" ht="16.5" x14ac:dyDescent="0.25">
      <c r="A36" s="107"/>
      <c r="B36" s="8" t="s">
        <v>157</v>
      </c>
      <c r="C36" s="109">
        <v>1</v>
      </c>
      <c r="D36" s="109">
        <v>4</v>
      </c>
      <c r="E36" s="109">
        <v>4</v>
      </c>
      <c r="F36" s="13" t="s">
        <v>242</v>
      </c>
      <c r="G36" s="110" t="s">
        <v>47</v>
      </c>
    </row>
    <row r="37" spans="1:7" ht="18" thickBot="1" x14ac:dyDescent="0.3">
      <c r="A37" s="107"/>
      <c r="B37" s="16" t="s">
        <v>241</v>
      </c>
      <c r="C37" s="111"/>
      <c r="D37" s="111"/>
      <c r="E37" s="111"/>
      <c r="F37" s="50" t="s">
        <v>243</v>
      </c>
      <c r="G37" s="112"/>
    </row>
    <row r="38" spans="1:7" ht="16.5" x14ac:dyDescent="0.25">
      <c r="A38" s="107"/>
      <c r="B38" s="8" t="s">
        <v>161</v>
      </c>
      <c r="C38" s="109">
        <v>1</v>
      </c>
      <c r="D38" s="109">
        <v>3</v>
      </c>
      <c r="E38" s="109">
        <v>3</v>
      </c>
      <c r="F38" s="13" t="s">
        <v>245</v>
      </c>
      <c r="G38" s="110" t="s">
        <v>47</v>
      </c>
    </row>
    <row r="39" spans="1:7" ht="17.25" thickBot="1" x14ac:dyDescent="0.3">
      <c r="A39" s="107"/>
      <c r="B39" s="16" t="s">
        <v>244</v>
      </c>
      <c r="C39" s="111"/>
      <c r="D39" s="111"/>
      <c r="E39" s="111"/>
      <c r="F39" s="16" t="s">
        <v>246</v>
      </c>
      <c r="G39" s="112"/>
    </row>
    <row r="40" spans="1:7" ht="16.5" x14ac:dyDescent="0.25">
      <c r="A40" s="107"/>
      <c r="B40" s="8" t="s">
        <v>165</v>
      </c>
      <c r="C40" s="109">
        <v>1</v>
      </c>
      <c r="D40" s="109">
        <v>4</v>
      </c>
      <c r="E40" s="109">
        <v>4</v>
      </c>
      <c r="F40" s="13" t="s">
        <v>249</v>
      </c>
      <c r="G40" s="110" t="s">
        <v>17</v>
      </c>
    </row>
    <row r="41" spans="1:7" ht="16.5" x14ac:dyDescent="0.25">
      <c r="A41" s="107"/>
      <c r="B41" s="13" t="s">
        <v>247</v>
      </c>
      <c r="C41" s="104"/>
      <c r="D41" s="104"/>
      <c r="E41" s="104"/>
      <c r="F41" s="13" t="s">
        <v>250</v>
      </c>
      <c r="G41" s="107"/>
    </row>
    <row r="42" spans="1:7" ht="17.25" thickBot="1" x14ac:dyDescent="0.3">
      <c r="A42" s="107"/>
      <c r="B42" s="16" t="s">
        <v>248</v>
      </c>
      <c r="C42" s="111"/>
      <c r="D42" s="111"/>
      <c r="E42" s="111"/>
      <c r="F42" s="17"/>
      <c r="G42" s="112"/>
    </row>
    <row r="43" spans="1:7" ht="16.5" x14ac:dyDescent="0.25">
      <c r="A43" s="107"/>
      <c r="B43" s="8" t="s">
        <v>169</v>
      </c>
      <c r="C43" s="109">
        <v>1</v>
      </c>
      <c r="D43" s="109">
        <v>4</v>
      </c>
      <c r="E43" s="109">
        <v>4</v>
      </c>
      <c r="F43" s="19" t="s">
        <v>77</v>
      </c>
      <c r="G43" s="110" t="s">
        <v>47</v>
      </c>
    </row>
    <row r="44" spans="1:7" ht="16.5" x14ac:dyDescent="0.25">
      <c r="A44" s="107"/>
      <c r="B44" s="13" t="s">
        <v>251</v>
      </c>
      <c r="C44" s="104"/>
      <c r="D44" s="104"/>
      <c r="E44" s="104"/>
      <c r="F44" s="19" t="s">
        <v>252</v>
      </c>
      <c r="G44" s="107"/>
    </row>
    <row r="45" spans="1:7" ht="17.25" thickBot="1" x14ac:dyDescent="0.3">
      <c r="A45" s="108"/>
      <c r="B45" s="16" t="s">
        <v>80</v>
      </c>
      <c r="C45" s="111"/>
      <c r="D45" s="111"/>
      <c r="E45" s="111"/>
      <c r="F45" s="17"/>
      <c r="G45" s="112"/>
    </row>
    <row r="46" spans="1:7" ht="16.5" x14ac:dyDescent="0.25">
      <c r="A46" s="106" t="s">
        <v>173</v>
      </c>
      <c r="B46" s="8" t="s">
        <v>174</v>
      </c>
      <c r="C46" s="109">
        <v>1</v>
      </c>
      <c r="D46" s="109">
        <v>4</v>
      </c>
      <c r="E46" s="109">
        <v>4</v>
      </c>
      <c r="F46" s="13" t="s">
        <v>255</v>
      </c>
      <c r="G46" s="110" t="s">
        <v>47</v>
      </c>
    </row>
    <row r="47" spans="1:7" ht="16.5" x14ac:dyDescent="0.25">
      <c r="A47" s="107"/>
      <c r="B47" s="8" t="s">
        <v>84</v>
      </c>
      <c r="C47" s="104"/>
      <c r="D47" s="104"/>
      <c r="E47" s="104"/>
      <c r="F47" s="13" t="s">
        <v>85</v>
      </c>
      <c r="G47" s="107"/>
    </row>
    <row r="48" spans="1:7" ht="16.5" x14ac:dyDescent="0.25">
      <c r="A48" s="107"/>
      <c r="B48" s="13" t="s">
        <v>253</v>
      </c>
      <c r="C48" s="104"/>
      <c r="D48" s="104"/>
      <c r="E48" s="104"/>
      <c r="F48" s="19"/>
      <c r="G48" s="107"/>
    </row>
    <row r="49" spans="1:7" ht="17.25" thickBot="1" x14ac:dyDescent="0.3">
      <c r="A49" s="107"/>
      <c r="B49" s="28" t="s">
        <v>254</v>
      </c>
      <c r="C49" s="105"/>
      <c r="D49" s="105"/>
      <c r="E49" s="105"/>
      <c r="F49" s="25"/>
      <c r="G49" s="108"/>
    </row>
    <row r="50" spans="1:7" ht="16.5" x14ac:dyDescent="0.25">
      <c r="A50" s="107"/>
      <c r="B50" s="8" t="s">
        <v>88</v>
      </c>
      <c r="C50" s="103">
        <v>2</v>
      </c>
      <c r="D50" s="103">
        <v>4</v>
      </c>
      <c r="E50" s="103">
        <v>8</v>
      </c>
      <c r="F50" s="13" t="s">
        <v>257</v>
      </c>
      <c r="G50" s="106" t="s">
        <v>47</v>
      </c>
    </row>
    <row r="51" spans="1:7" ht="16.5" x14ac:dyDescent="0.25">
      <c r="A51" s="107"/>
      <c r="B51" s="13" t="s">
        <v>256</v>
      </c>
      <c r="C51" s="104"/>
      <c r="D51" s="104"/>
      <c r="E51" s="104"/>
      <c r="F51" s="13" t="s">
        <v>91</v>
      </c>
      <c r="G51" s="107"/>
    </row>
    <row r="52" spans="1:7" ht="17.25" thickBot="1" x14ac:dyDescent="0.3">
      <c r="A52" s="107"/>
      <c r="B52" s="28" t="s">
        <v>92</v>
      </c>
      <c r="C52" s="105"/>
      <c r="D52" s="105"/>
      <c r="E52" s="105"/>
      <c r="F52" s="25"/>
      <c r="G52" s="108"/>
    </row>
    <row r="53" spans="1:7" ht="16.5" x14ac:dyDescent="0.25">
      <c r="A53" s="107"/>
      <c r="B53" s="8" t="s">
        <v>93</v>
      </c>
      <c r="C53" s="103">
        <v>1</v>
      </c>
      <c r="D53" s="103">
        <v>4</v>
      </c>
      <c r="E53" s="103">
        <v>4</v>
      </c>
      <c r="F53" s="13" t="s">
        <v>260</v>
      </c>
      <c r="G53" s="106" t="s">
        <v>183</v>
      </c>
    </row>
    <row r="54" spans="1:7" ht="16.5" x14ac:dyDescent="0.25">
      <c r="A54" s="107"/>
      <c r="B54" s="13" t="s">
        <v>258</v>
      </c>
      <c r="C54" s="104"/>
      <c r="D54" s="104"/>
      <c r="E54" s="104"/>
      <c r="F54" s="13" t="s">
        <v>97</v>
      </c>
      <c r="G54" s="107"/>
    </row>
    <row r="55" spans="1:7" ht="17.25" thickBot="1" x14ac:dyDescent="0.3">
      <c r="A55" s="108"/>
      <c r="B55" s="28" t="s">
        <v>259</v>
      </c>
      <c r="C55" s="105"/>
      <c r="D55" s="105"/>
      <c r="E55" s="105"/>
      <c r="F55" s="25"/>
      <c r="G55" s="108"/>
    </row>
    <row r="56" spans="1:7" ht="16.5" x14ac:dyDescent="0.25">
      <c r="A56" s="106" t="s">
        <v>184</v>
      </c>
      <c r="B56" s="8" t="s">
        <v>185</v>
      </c>
      <c r="C56" s="103">
        <v>1</v>
      </c>
      <c r="D56" s="103">
        <v>5</v>
      </c>
      <c r="E56" s="103">
        <v>5</v>
      </c>
      <c r="F56" s="19" t="s">
        <v>101</v>
      </c>
      <c r="G56" s="106" t="s">
        <v>102</v>
      </c>
    </row>
    <row r="57" spans="1:7" ht="16.5" x14ac:dyDescent="0.25">
      <c r="A57" s="107"/>
      <c r="B57" s="19" t="s">
        <v>103</v>
      </c>
      <c r="C57" s="104"/>
      <c r="D57" s="104"/>
      <c r="E57" s="104"/>
      <c r="F57" s="19" t="s">
        <v>104</v>
      </c>
      <c r="G57" s="107"/>
    </row>
    <row r="58" spans="1:7" ht="16.5" x14ac:dyDescent="0.25">
      <c r="A58" s="107"/>
      <c r="B58" s="19" t="s">
        <v>105</v>
      </c>
      <c r="C58" s="104"/>
      <c r="D58" s="104"/>
      <c r="E58" s="104"/>
      <c r="F58" s="19" t="s">
        <v>106</v>
      </c>
      <c r="G58" s="107"/>
    </row>
    <row r="59" spans="1:7" ht="16.5" x14ac:dyDescent="0.25">
      <c r="A59" s="107"/>
      <c r="B59" s="19" t="s">
        <v>107</v>
      </c>
      <c r="C59" s="104"/>
      <c r="D59" s="104"/>
      <c r="E59" s="104"/>
      <c r="F59" s="19" t="s">
        <v>108</v>
      </c>
      <c r="G59" s="107"/>
    </row>
    <row r="60" spans="1:7" ht="16.5" x14ac:dyDescent="0.25">
      <c r="A60" s="107"/>
      <c r="B60" s="19" t="s">
        <v>109</v>
      </c>
      <c r="C60" s="104"/>
      <c r="D60" s="104"/>
      <c r="E60" s="104"/>
      <c r="F60" s="19" t="s">
        <v>110</v>
      </c>
      <c r="G60" s="107"/>
    </row>
    <row r="61" spans="1:7" ht="16.5" x14ac:dyDescent="0.25">
      <c r="A61" s="107"/>
      <c r="B61" s="19" t="s">
        <v>111</v>
      </c>
      <c r="C61" s="104"/>
      <c r="D61" s="104"/>
      <c r="E61" s="104"/>
      <c r="F61" s="19" t="s">
        <v>112</v>
      </c>
      <c r="G61" s="107"/>
    </row>
    <row r="62" spans="1:7" ht="16.5" x14ac:dyDescent="0.25">
      <c r="A62" s="107"/>
      <c r="B62" s="19" t="s">
        <v>113</v>
      </c>
      <c r="C62" s="104"/>
      <c r="D62" s="104"/>
      <c r="E62" s="104"/>
      <c r="F62" s="19" t="s">
        <v>114</v>
      </c>
      <c r="G62" s="107"/>
    </row>
    <row r="63" spans="1:7" ht="16.5" x14ac:dyDescent="0.25">
      <c r="A63" s="107"/>
      <c r="B63" s="19" t="s">
        <v>115</v>
      </c>
      <c r="C63" s="104"/>
      <c r="D63" s="104"/>
      <c r="E63" s="104"/>
      <c r="F63" s="19" t="s">
        <v>116</v>
      </c>
      <c r="G63" s="107"/>
    </row>
    <row r="64" spans="1:7" ht="16.5" x14ac:dyDescent="0.25">
      <c r="A64" s="107"/>
      <c r="B64" s="19" t="s">
        <v>117</v>
      </c>
      <c r="C64" s="104"/>
      <c r="D64" s="104"/>
      <c r="E64" s="104"/>
      <c r="F64" s="19" t="s">
        <v>118</v>
      </c>
      <c r="G64" s="107"/>
    </row>
    <row r="65" spans="1:7" ht="16.5" x14ac:dyDescent="0.25">
      <c r="A65" s="107"/>
      <c r="B65" s="19" t="s">
        <v>119</v>
      </c>
      <c r="C65" s="104"/>
      <c r="D65" s="104"/>
      <c r="E65" s="104"/>
      <c r="F65" s="19" t="s">
        <v>120</v>
      </c>
      <c r="G65" s="107"/>
    </row>
    <row r="66" spans="1:7" ht="17.25" thickBot="1" x14ac:dyDescent="0.3">
      <c r="A66" s="108"/>
      <c r="B66" s="25"/>
      <c r="C66" s="105"/>
      <c r="D66" s="105"/>
      <c r="E66" s="105"/>
      <c r="F66" s="31"/>
      <c r="G66" s="108"/>
    </row>
    <row r="67" spans="1:7" ht="17.25" thickBot="1" x14ac:dyDescent="0.3">
      <c r="A67" s="18"/>
      <c r="B67" s="100" t="s">
        <v>121</v>
      </c>
      <c r="C67" s="101"/>
      <c r="D67" s="102"/>
      <c r="E67" s="32">
        <v>89</v>
      </c>
      <c r="F67" s="33"/>
      <c r="G67" s="34"/>
    </row>
  </sheetData>
  <mergeCells count="73">
    <mergeCell ref="A56:A66"/>
    <mergeCell ref="C56:C66"/>
    <mergeCell ref="D56:D66"/>
    <mergeCell ref="E56:E66"/>
    <mergeCell ref="G56:G66"/>
    <mergeCell ref="B67:D67"/>
    <mergeCell ref="D50:D52"/>
    <mergeCell ref="E50:E52"/>
    <mergeCell ref="G50:G52"/>
    <mergeCell ref="C53:C55"/>
    <mergeCell ref="D53:D55"/>
    <mergeCell ref="E53:E55"/>
    <mergeCell ref="G53:G55"/>
    <mergeCell ref="C43:C45"/>
    <mergeCell ref="D43:D45"/>
    <mergeCell ref="E43:E45"/>
    <mergeCell ref="G43:G45"/>
    <mergeCell ref="A46:A55"/>
    <mergeCell ref="C46:C49"/>
    <mergeCell ref="D46:D49"/>
    <mergeCell ref="E46:E49"/>
    <mergeCell ref="G46:G49"/>
    <mergeCell ref="C50:C52"/>
    <mergeCell ref="C38:C39"/>
    <mergeCell ref="D38:D39"/>
    <mergeCell ref="E38:E39"/>
    <mergeCell ref="G38:G39"/>
    <mergeCell ref="C40:C42"/>
    <mergeCell ref="D40:D42"/>
    <mergeCell ref="E40:E42"/>
    <mergeCell ref="G40:G42"/>
    <mergeCell ref="G30:G32"/>
    <mergeCell ref="A33:A45"/>
    <mergeCell ref="C33:C35"/>
    <mergeCell ref="D33:D35"/>
    <mergeCell ref="E33:E35"/>
    <mergeCell ref="G33:G35"/>
    <mergeCell ref="C36:C37"/>
    <mergeCell ref="D36:D37"/>
    <mergeCell ref="E36:E37"/>
    <mergeCell ref="G36:G37"/>
    <mergeCell ref="A10:A32"/>
    <mergeCell ref="C10:C12"/>
    <mergeCell ref="D10:D12"/>
    <mergeCell ref="E10:E12"/>
    <mergeCell ref="G10:G12"/>
    <mergeCell ref="C13:C14"/>
    <mergeCell ref="C26:C29"/>
    <mergeCell ref="D26:D29"/>
    <mergeCell ref="E26:E29"/>
    <mergeCell ref="C30:C32"/>
    <mergeCell ref="D30:D32"/>
    <mergeCell ref="E30:E32"/>
    <mergeCell ref="C15:C21"/>
    <mergeCell ref="D15:D21"/>
    <mergeCell ref="E15:E21"/>
    <mergeCell ref="G15:G21"/>
    <mergeCell ref="C22:C25"/>
    <mergeCell ref="D22:D25"/>
    <mergeCell ref="E22:E25"/>
    <mergeCell ref="G22:G25"/>
    <mergeCell ref="D13:D14"/>
    <mergeCell ref="E13:E14"/>
    <mergeCell ref="F13:F14"/>
    <mergeCell ref="G13:G14"/>
    <mergeCell ref="B1:B3"/>
    <mergeCell ref="A4:A9"/>
    <mergeCell ref="C4:C6"/>
    <mergeCell ref="D4:D6"/>
    <mergeCell ref="E4:E6"/>
    <mergeCell ref="C7:C9"/>
    <mergeCell ref="D7:D9"/>
    <mergeCell ref="E7:E9"/>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DAD14A-8366-48DB-88BA-0D06AFF2B8F3}">
  <dimension ref="A1:G65"/>
  <sheetViews>
    <sheetView topLeftCell="A39" zoomScale="55" zoomScaleNormal="55" workbookViewId="0">
      <selection activeCell="E44" sqref="E44:E64"/>
    </sheetView>
  </sheetViews>
  <sheetFormatPr defaultRowHeight="15" x14ac:dyDescent="0.25"/>
  <cols>
    <col min="1" max="1" width="6.85546875" bestFit="1" customWidth="1"/>
    <col min="2" max="2" width="160.28515625" bestFit="1" customWidth="1"/>
    <col min="3" max="3" width="11.140625" bestFit="1" customWidth="1"/>
    <col min="4" max="4" width="9" bestFit="1" customWidth="1"/>
    <col min="5" max="5" width="7.5703125" bestFit="1" customWidth="1"/>
    <col min="6" max="6" width="209.28515625" bestFit="1" customWidth="1"/>
    <col min="7" max="7" width="109.28515625" bestFit="1" customWidth="1"/>
  </cols>
  <sheetData>
    <row r="1" spans="1:7" ht="16.5" x14ac:dyDescent="0.25">
      <c r="A1" s="43" t="s">
        <v>0</v>
      </c>
      <c r="B1" s="120" t="s">
        <v>1</v>
      </c>
      <c r="C1" s="44" t="s">
        <v>2</v>
      </c>
      <c r="D1" s="44" t="s">
        <v>3</v>
      </c>
      <c r="E1" s="44" t="s">
        <v>0</v>
      </c>
      <c r="F1" s="44" t="s">
        <v>4</v>
      </c>
      <c r="G1" s="44" t="s">
        <v>5</v>
      </c>
    </row>
    <row r="2" spans="1:7" ht="16.5" x14ac:dyDescent="0.25">
      <c r="A2" s="45" t="s">
        <v>6</v>
      </c>
      <c r="B2" s="121"/>
      <c r="C2" s="46" t="s">
        <v>7</v>
      </c>
      <c r="D2" s="46" t="s">
        <v>8</v>
      </c>
      <c r="E2" s="46" t="s">
        <v>9</v>
      </c>
      <c r="F2" s="46" t="s">
        <v>10</v>
      </c>
      <c r="G2" s="46" t="s">
        <v>11</v>
      </c>
    </row>
    <row r="3" spans="1:7" ht="17.25" thickBot="1" x14ac:dyDescent="0.3">
      <c r="A3" s="39"/>
      <c r="B3" s="122"/>
      <c r="C3" s="47" t="s">
        <v>12</v>
      </c>
      <c r="D3" s="47" t="s">
        <v>12</v>
      </c>
      <c r="E3" s="47" t="s">
        <v>13</v>
      </c>
      <c r="F3" s="41"/>
      <c r="G3" s="41"/>
    </row>
    <row r="4" spans="1:7" ht="21" x14ac:dyDescent="0.25">
      <c r="A4" s="106" t="s">
        <v>14</v>
      </c>
      <c r="B4" s="11" t="s">
        <v>297</v>
      </c>
      <c r="C4" s="103">
        <v>1</v>
      </c>
      <c r="D4" s="103">
        <v>4</v>
      </c>
      <c r="E4" s="103">
        <v>4</v>
      </c>
      <c r="F4" s="9" t="s">
        <v>300</v>
      </c>
      <c r="G4" s="106" t="s">
        <v>17</v>
      </c>
    </row>
    <row r="5" spans="1:7" ht="21" x14ac:dyDescent="0.25">
      <c r="A5" s="107"/>
      <c r="B5" s="11" t="s">
        <v>18</v>
      </c>
      <c r="C5" s="104"/>
      <c r="D5" s="104"/>
      <c r="E5" s="104"/>
      <c r="F5" s="9" t="s">
        <v>301</v>
      </c>
      <c r="G5" s="107"/>
    </row>
    <row r="6" spans="1:7" ht="21" x14ac:dyDescent="0.25">
      <c r="A6" s="107"/>
      <c r="B6" s="13" t="s">
        <v>298</v>
      </c>
      <c r="C6" s="104"/>
      <c r="D6" s="104"/>
      <c r="E6" s="104"/>
      <c r="F6" s="9" t="s">
        <v>302</v>
      </c>
      <c r="G6" s="107"/>
    </row>
    <row r="7" spans="1:7" ht="16.5" x14ac:dyDescent="0.25">
      <c r="A7" s="107"/>
      <c r="B7" s="13" t="s">
        <v>299</v>
      </c>
      <c r="C7" s="104"/>
      <c r="D7" s="104"/>
      <c r="E7" s="104"/>
      <c r="F7" s="15"/>
      <c r="G7" s="107"/>
    </row>
    <row r="8" spans="1:7" ht="17.25" thickBot="1" x14ac:dyDescent="0.3">
      <c r="A8" s="107"/>
      <c r="B8" s="51"/>
      <c r="C8" s="111"/>
      <c r="D8" s="111"/>
      <c r="E8" s="111"/>
      <c r="F8" s="17"/>
      <c r="G8" s="112"/>
    </row>
    <row r="9" spans="1:7" ht="16.5" x14ac:dyDescent="0.25">
      <c r="A9" s="107"/>
      <c r="B9" s="8" t="s">
        <v>23</v>
      </c>
      <c r="C9" s="109">
        <v>1</v>
      </c>
      <c r="D9" s="109">
        <v>4</v>
      </c>
      <c r="E9" s="109">
        <v>4</v>
      </c>
      <c r="F9" s="13" t="s">
        <v>305</v>
      </c>
      <c r="G9" s="110" t="s">
        <v>17</v>
      </c>
    </row>
    <row r="10" spans="1:7" ht="16.5" x14ac:dyDescent="0.25">
      <c r="A10" s="107"/>
      <c r="B10" s="13" t="s">
        <v>303</v>
      </c>
      <c r="C10" s="104"/>
      <c r="D10" s="104"/>
      <c r="E10" s="104"/>
      <c r="F10" s="13" t="s">
        <v>306</v>
      </c>
      <c r="G10" s="107"/>
    </row>
    <row r="11" spans="1:7" ht="16.5" x14ac:dyDescent="0.25">
      <c r="A11" s="107"/>
      <c r="B11" s="13" t="s">
        <v>304</v>
      </c>
      <c r="C11" s="104"/>
      <c r="D11" s="104"/>
      <c r="E11" s="104"/>
      <c r="F11" s="13" t="s">
        <v>307</v>
      </c>
      <c r="G11" s="107"/>
    </row>
    <row r="12" spans="1:7" ht="17.25" thickBot="1" x14ac:dyDescent="0.3">
      <c r="A12" s="107"/>
      <c r="B12" s="16"/>
      <c r="C12" s="111"/>
      <c r="D12" s="111"/>
      <c r="E12" s="111"/>
      <c r="F12" s="17"/>
      <c r="G12" s="112"/>
    </row>
    <row r="13" spans="1:7" ht="16.5" x14ac:dyDescent="0.25">
      <c r="A13" s="107"/>
      <c r="B13" s="8" t="s">
        <v>30</v>
      </c>
      <c r="C13" s="109">
        <v>1</v>
      </c>
      <c r="D13" s="109">
        <v>3</v>
      </c>
      <c r="E13" s="109">
        <v>3</v>
      </c>
      <c r="F13" s="19" t="s">
        <v>309</v>
      </c>
      <c r="G13" s="110" t="s">
        <v>17</v>
      </c>
    </row>
    <row r="14" spans="1:7" ht="16.5" x14ac:dyDescent="0.25">
      <c r="A14" s="107"/>
      <c r="B14" s="19" t="s">
        <v>32</v>
      </c>
      <c r="C14" s="104"/>
      <c r="D14" s="104"/>
      <c r="E14" s="104"/>
      <c r="F14" s="19" t="s">
        <v>310</v>
      </c>
      <c r="G14" s="107"/>
    </row>
    <row r="15" spans="1:7" ht="17.25" thickBot="1" x14ac:dyDescent="0.3">
      <c r="A15" s="108"/>
      <c r="B15" s="52" t="s">
        <v>308</v>
      </c>
      <c r="C15" s="111"/>
      <c r="D15" s="111"/>
      <c r="E15" s="111"/>
      <c r="F15" s="17"/>
      <c r="G15" s="112"/>
    </row>
    <row r="16" spans="1:7" ht="16.5" x14ac:dyDescent="0.25">
      <c r="A16" s="106" t="s">
        <v>34</v>
      </c>
      <c r="B16" s="8" t="s">
        <v>35</v>
      </c>
      <c r="C16" s="109">
        <v>1</v>
      </c>
      <c r="D16" s="109">
        <v>4</v>
      </c>
      <c r="E16" s="109">
        <v>4</v>
      </c>
      <c r="F16" s="19" t="s">
        <v>311</v>
      </c>
      <c r="G16" s="110" t="s">
        <v>17</v>
      </c>
    </row>
    <row r="17" spans="1:7" ht="16.5" x14ac:dyDescent="0.25">
      <c r="A17" s="107"/>
      <c r="B17" s="8" t="s">
        <v>37</v>
      </c>
      <c r="C17" s="104"/>
      <c r="D17" s="104"/>
      <c r="E17" s="104"/>
      <c r="F17" s="19" t="s">
        <v>312</v>
      </c>
      <c r="G17" s="107"/>
    </row>
    <row r="18" spans="1:7" ht="17.25" thickBot="1" x14ac:dyDescent="0.3">
      <c r="A18" s="107"/>
      <c r="B18" s="21" t="s">
        <v>39</v>
      </c>
      <c r="C18" s="111"/>
      <c r="D18" s="111"/>
      <c r="E18" s="111"/>
      <c r="F18" s="17"/>
      <c r="G18" s="112"/>
    </row>
    <row r="19" spans="1:7" ht="81.75" customHeight="1" x14ac:dyDescent="0.25">
      <c r="A19" s="107"/>
      <c r="B19" s="8" t="s">
        <v>40</v>
      </c>
      <c r="C19" s="109">
        <v>1</v>
      </c>
      <c r="D19" s="109">
        <v>4</v>
      </c>
      <c r="E19" s="109">
        <v>4</v>
      </c>
      <c r="F19" s="128" t="s">
        <v>313</v>
      </c>
      <c r="G19" s="110" t="s">
        <v>17</v>
      </c>
    </row>
    <row r="20" spans="1:7" ht="17.25" thickBot="1" x14ac:dyDescent="0.3">
      <c r="A20" s="107"/>
      <c r="B20" s="21" t="s">
        <v>42</v>
      </c>
      <c r="C20" s="111"/>
      <c r="D20" s="111"/>
      <c r="E20" s="111"/>
      <c r="F20" s="129"/>
      <c r="G20" s="112"/>
    </row>
    <row r="21" spans="1:7" ht="16.5" x14ac:dyDescent="0.25">
      <c r="A21" s="107"/>
      <c r="B21" s="8" t="s">
        <v>133</v>
      </c>
      <c r="C21" s="109">
        <v>1</v>
      </c>
      <c r="D21" s="109">
        <v>4</v>
      </c>
      <c r="E21" s="109">
        <v>4</v>
      </c>
      <c r="F21" s="19" t="s">
        <v>315</v>
      </c>
      <c r="G21" s="110" t="s">
        <v>17</v>
      </c>
    </row>
    <row r="22" spans="1:7" ht="16.5" x14ac:dyDescent="0.25">
      <c r="A22" s="107"/>
      <c r="B22" s="23" t="s">
        <v>314</v>
      </c>
      <c r="C22" s="104"/>
      <c r="D22" s="104"/>
      <c r="E22" s="104"/>
      <c r="F22" s="13" t="s">
        <v>316</v>
      </c>
      <c r="G22" s="107"/>
    </row>
    <row r="23" spans="1:7" ht="17.25" thickBot="1" x14ac:dyDescent="0.3">
      <c r="A23" s="107"/>
      <c r="B23" s="53"/>
      <c r="C23" s="111"/>
      <c r="D23" s="111"/>
      <c r="E23" s="111"/>
      <c r="F23" s="17"/>
      <c r="G23" s="112"/>
    </row>
    <row r="24" spans="1:7" ht="16.5" x14ac:dyDescent="0.25">
      <c r="A24" s="107"/>
      <c r="B24" s="8" t="s">
        <v>137</v>
      </c>
      <c r="C24" s="109">
        <v>1</v>
      </c>
      <c r="D24" s="109">
        <v>4</v>
      </c>
      <c r="E24" s="109">
        <v>4</v>
      </c>
      <c r="F24" s="13" t="s">
        <v>318</v>
      </c>
      <c r="G24" s="110" t="s">
        <v>47</v>
      </c>
    </row>
    <row r="25" spans="1:7" ht="16.5" x14ac:dyDescent="0.25">
      <c r="A25" s="107"/>
      <c r="B25" s="13" t="s">
        <v>55</v>
      </c>
      <c r="C25" s="104"/>
      <c r="D25" s="104"/>
      <c r="E25" s="104"/>
      <c r="F25" s="13" t="s">
        <v>319</v>
      </c>
      <c r="G25" s="107"/>
    </row>
    <row r="26" spans="1:7" ht="16.5" x14ac:dyDescent="0.25">
      <c r="A26" s="107"/>
      <c r="B26" s="13" t="s">
        <v>57</v>
      </c>
      <c r="C26" s="104"/>
      <c r="D26" s="104"/>
      <c r="E26" s="104"/>
      <c r="F26" s="19" t="s">
        <v>320</v>
      </c>
      <c r="G26" s="107"/>
    </row>
    <row r="27" spans="1:7" ht="17.25" thickBot="1" x14ac:dyDescent="0.3">
      <c r="A27" s="107"/>
      <c r="B27" s="16" t="s">
        <v>317</v>
      </c>
      <c r="C27" s="111"/>
      <c r="D27" s="111"/>
      <c r="E27" s="111"/>
      <c r="F27" s="17"/>
      <c r="G27" s="112"/>
    </row>
    <row r="28" spans="1:7" ht="16.5" x14ac:dyDescent="0.25">
      <c r="A28" s="107"/>
      <c r="B28" s="8" t="s">
        <v>321</v>
      </c>
      <c r="C28" s="109">
        <v>1</v>
      </c>
      <c r="D28" s="109">
        <v>4</v>
      </c>
      <c r="E28" s="109">
        <v>4</v>
      </c>
      <c r="F28" s="13" t="s">
        <v>148</v>
      </c>
      <c r="G28" s="110" t="s">
        <v>47</v>
      </c>
    </row>
    <row r="29" spans="1:7" ht="16.5" x14ac:dyDescent="0.25">
      <c r="A29" s="107"/>
      <c r="B29" s="13" t="s">
        <v>322</v>
      </c>
      <c r="C29" s="104"/>
      <c r="D29" s="104"/>
      <c r="E29" s="104"/>
      <c r="F29" s="13" t="s">
        <v>324</v>
      </c>
      <c r="G29" s="107"/>
    </row>
    <row r="30" spans="1:7" ht="17.25" thickBot="1" x14ac:dyDescent="0.3">
      <c r="A30" s="108"/>
      <c r="B30" s="28" t="s">
        <v>323</v>
      </c>
      <c r="C30" s="105"/>
      <c r="D30" s="105"/>
      <c r="E30" s="105"/>
      <c r="F30" s="25"/>
      <c r="G30" s="108"/>
    </row>
    <row r="31" spans="1:7" ht="16.5" x14ac:dyDescent="0.25">
      <c r="A31" s="106" t="s">
        <v>81</v>
      </c>
      <c r="B31" s="8" t="s">
        <v>150</v>
      </c>
      <c r="C31" s="103">
        <v>2</v>
      </c>
      <c r="D31" s="103">
        <v>4</v>
      </c>
      <c r="E31" s="103">
        <v>8</v>
      </c>
      <c r="F31" s="13" t="s">
        <v>328</v>
      </c>
      <c r="G31" s="106" t="s">
        <v>330</v>
      </c>
    </row>
    <row r="32" spans="1:7" ht="16.5" x14ac:dyDescent="0.25">
      <c r="A32" s="107"/>
      <c r="B32" s="8" t="s">
        <v>325</v>
      </c>
      <c r="C32" s="104"/>
      <c r="D32" s="104"/>
      <c r="E32" s="104"/>
      <c r="F32" s="13" t="s">
        <v>329</v>
      </c>
      <c r="G32" s="107"/>
    </row>
    <row r="33" spans="1:7" ht="16.5" x14ac:dyDescent="0.25">
      <c r="A33" s="107"/>
      <c r="B33" s="13" t="s">
        <v>326</v>
      </c>
      <c r="C33" s="104"/>
      <c r="D33" s="104"/>
      <c r="E33" s="104"/>
      <c r="F33" s="15"/>
      <c r="G33" s="107"/>
    </row>
    <row r="34" spans="1:7" ht="17.25" thickBot="1" x14ac:dyDescent="0.3">
      <c r="A34" s="107"/>
      <c r="B34" s="16" t="s">
        <v>327</v>
      </c>
      <c r="C34" s="111"/>
      <c r="D34" s="111"/>
      <c r="E34" s="111"/>
      <c r="F34" s="17"/>
      <c r="G34" s="112"/>
    </row>
    <row r="35" spans="1:7" ht="16.5" x14ac:dyDescent="0.25">
      <c r="A35" s="107"/>
      <c r="B35" s="8" t="s">
        <v>331</v>
      </c>
      <c r="C35" s="109">
        <v>1</v>
      </c>
      <c r="D35" s="109">
        <v>5</v>
      </c>
      <c r="E35" s="109">
        <v>5</v>
      </c>
      <c r="F35" s="13" t="s">
        <v>333</v>
      </c>
      <c r="G35" s="110" t="s">
        <v>47</v>
      </c>
    </row>
    <row r="36" spans="1:7" ht="17.25" thickBot="1" x14ac:dyDescent="0.3">
      <c r="A36" s="107"/>
      <c r="B36" s="54" t="s">
        <v>332</v>
      </c>
      <c r="C36" s="111"/>
      <c r="D36" s="111"/>
      <c r="E36" s="111"/>
      <c r="F36" s="16" t="s">
        <v>334</v>
      </c>
      <c r="G36" s="112"/>
    </row>
    <row r="37" spans="1:7" ht="16.5" x14ac:dyDescent="0.25">
      <c r="A37" s="107"/>
      <c r="B37" s="8" t="s">
        <v>335</v>
      </c>
      <c r="C37" s="109">
        <v>1</v>
      </c>
      <c r="D37" s="109">
        <v>4</v>
      </c>
      <c r="E37" s="109">
        <v>4</v>
      </c>
      <c r="F37" s="13" t="s">
        <v>337</v>
      </c>
      <c r="G37" s="110" t="s">
        <v>47</v>
      </c>
    </row>
    <row r="38" spans="1:7" ht="17.25" thickBot="1" x14ac:dyDescent="0.3">
      <c r="A38" s="107"/>
      <c r="B38" s="54" t="s">
        <v>336</v>
      </c>
      <c r="C38" s="111"/>
      <c r="D38" s="111"/>
      <c r="E38" s="111"/>
      <c r="F38" s="16" t="s">
        <v>338</v>
      </c>
      <c r="G38" s="112"/>
    </row>
    <row r="39" spans="1:7" ht="16.5" x14ac:dyDescent="0.25">
      <c r="A39" s="107"/>
      <c r="B39" s="8" t="s">
        <v>339</v>
      </c>
      <c r="C39" s="109">
        <v>1</v>
      </c>
      <c r="D39" s="109">
        <v>5</v>
      </c>
      <c r="E39" s="109">
        <v>5</v>
      </c>
      <c r="F39" s="13" t="s">
        <v>341</v>
      </c>
      <c r="G39" s="110" t="s">
        <v>47</v>
      </c>
    </row>
    <row r="40" spans="1:7" ht="17.25" thickBot="1" x14ac:dyDescent="0.3">
      <c r="A40" s="107"/>
      <c r="B40" s="54" t="s">
        <v>340</v>
      </c>
      <c r="C40" s="111"/>
      <c r="D40" s="111"/>
      <c r="E40" s="111"/>
      <c r="F40" s="52" t="s">
        <v>342</v>
      </c>
      <c r="G40" s="112"/>
    </row>
    <row r="41" spans="1:7" ht="16.5" x14ac:dyDescent="0.25">
      <c r="A41" s="107"/>
      <c r="B41" s="8" t="s">
        <v>169</v>
      </c>
      <c r="C41" s="109">
        <v>1</v>
      </c>
      <c r="D41" s="109">
        <v>5</v>
      </c>
      <c r="E41" s="109">
        <v>5</v>
      </c>
      <c r="F41" s="19" t="s">
        <v>77</v>
      </c>
      <c r="G41" s="110" t="s">
        <v>47</v>
      </c>
    </row>
    <row r="42" spans="1:7" ht="16.5" x14ac:dyDescent="0.25">
      <c r="A42" s="107"/>
      <c r="B42" s="13" t="s">
        <v>343</v>
      </c>
      <c r="C42" s="104"/>
      <c r="D42" s="104"/>
      <c r="E42" s="104"/>
      <c r="F42" s="19" t="s">
        <v>344</v>
      </c>
      <c r="G42" s="107"/>
    </row>
    <row r="43" spans="1:7" ht="17.25" thickBot="1" x14ac:dyDescent="0.3">
      <c r="A43" s="108"/>
      <c r="B43" s="16" t="s">
        <v>80</v>
      </c>
      <c r="C43" s="111"/>
      <c r="D43" s="111"/>
      <c r="E43" s="111"/>
      <c r="F43" s="17"/>
      <c r="G43" s="112"/>
    </row>
    <row r="44" spans="1:7" ht="16.5" x14ac:dyDescent="0.25">
      <c r="A44" s="106" t="s">
        <v>173</v>
      </c>
      <c r="B44" s="8" t="s">
        <v>174</v>
      </c>
      <c r="C44" s="109">
        <v>1</v>
      </c>
      <c r="D44" s="109">
        <v>4</v>
      </c>
      <c r="E44" s="109">
        <v>4</v>
      </c>
      <c r="F44" s="13" t="s">
        <v>347</v>
      </c>
      <c r="G44" s="110" t="s">
        <v>47</v>
      </c>
    </row>
    <row r="45" spans="1:7" ht="16.5" x14ac:dyDescent="0.25">
      <c r="A45" s="107"/>
      <c r="B45" s="8" t="s">
        <v>84</v>
      </c>
      <c r="C45" s="104"/>
      <c r="D45" s="104"/>
      <c r="E45" s="104"/>
      <c r="F45" s="13" t="s">
        <v>85</v>
      </c>
      <c r="G45" s="107"/>
    </row>
    <row r="46" spans="1:7" ht="16.5" x14ac:dyDescent="0.25">
      <c r="A46" s="107"/>
      <c r="B46" s="13" t="s">
        <v>345</v>
      </c>
      <c r="C46" s="104"/>
      <c r="D46" s="104"/>
      <c r="E46" s="104"/>
      <c r="F46" s="19"/>
      <c r="G46" s="107"/>
    </row>
    <row r="47" spans="1:7" ht="17.25" thickBot="1" x14ac:dyDescent="0.3">
      <c r="A47" s="107"/>
      <c r="B47" s="28" t="s">
        <v>346</v>
      </c>
      <c r="C47" s="105"/>
      <c r="D47" s="105"/>
      <c r="E47" s="105"/>
      <c r="F47" s="25"/>
      <c r="G47" s="108"/>
    </row>
    <row r="48" spans="1:7" ht="16.5" x14ac:dyDescent="0.25">
      <c r="A48" s="107"/>
      <c r="B48" s="8" t="s">
        <v>88</v>
      </c>
      <c r="C48" s="103">
        <v>2</v>
      </c>
      <c r="D48" s="103">
        <v>4</v>
      </c>
      <c r="E48" s="103">
        <v>8</v>
      </c>
      <c r="F48" s="13" t="s">
        <v>349</v>
      </c>
      <c r="G48" s="106" t="s">
        <v>47</v>
      </c>
    </row>
    <row r="49" spans="1:7" ht="16.5" x14ac:dyDescent="0.25">
      <c r="A49" s="107"/>
      <c r="B49" s="13" t="s">
        <v>348</v>
      </c>
      <c r="C49" s="104"/>
      <c r="D49" s="104"/>
      <c r="E49" s="104"/>
      <c r="F49" s="13" t="s">
        <v>91</v>
      </c>
      <c r="G49" s="107"/>
    </row>
    <row r="50" spans="1:7" ht="17.25" thickBot="1" x14ac:dyDescent="0.3">
      <c r="A50" s="107"/>
      <c r="B50" s="28" t="s">
        <v>92</v>
      </c>
      <c r="C50" s="105"/>
      <c r="D50" s="105"/>
      <c r="E50" s="105"/>
      <c r="F50" s="25"/>
      <c r="G50" s="108"/>
    </row>
    <row r="51" spans="1:7" ht="16.5" x14ac:dyDescent="0.25">
      <c r="A51" s="107"/>
      <c r="B51" s="8" t="s">
        <v>93</v>
      </c>
      <c r="C51" s="103">
        <v>1</v>
      </c>
      <c r="D51" s="103">
        <v>4</v>
      </c>
      <c r="E51" s="103">
        <v>4</v>
      </c>
      <c r="F51" s="13" t="s">
        <v>352</v>
      </c>
      <c r="G51" s="106" t="s">
        <v>95</v>
      </c>
    </row>
    <row r="52" spans="1:7" ht="16.5" x14ac:dyDescent="0.25">
      <c r="A52" s="107"/>
      <c r="B52" s="13" t="s">
        <v>350</v>
      </c>
      <c r="C52" s="104"/>
      <c r="D52" s="104"/>
      <c r="E52" s="104"/>
      <c r="F52" s="13" t="s">
        <v>97</v>
      </c>
      <c r="G52" s="107"/>
    </row>
    <row r="53" spans="1:7" ht="17.25" thickBot="1" x14ac:dyDescent="0.3">
      <c r="A53" s="108"/>
      <c r="B53" s="28" t="s">
        <v>351</v>
      </c>
      <c r="C53" s="105"/>
      <c r="D53" s="105"/>
      <c r="E53" s="105"/>
      <c r="F53" s="25"/>
      <c r="G53" s="108"/>
    </row>
    <row r="54" spans="1:7" ht="16.5" x14ac:dyDescent="0.25">
      <c r="A54" s="106" t="s">
        <v>184</v>
      </c>
      <c r="B54" s="30" t="s">
        <v>353</v>
      </c>
      <c r="C54" s="103">
        <v>1</v>
      </c>
      <c r="D54" s="103">
        <v>5</v>
      </c>
      <c r="E54" s="103">
        <v>5</v>
      </c>
      <c r="F54" s="19" t="s">
        <v>101</v>
      </c>
      <c r="G54" s="106" t="s">
        <v>102</v>
      </c>
    </row>
    <row r="55" spans="1:7" ht="16.5" x14ac:dyDescent="0.25">
      <c r="A55" s="107"/>
      <c r="B55" s="19" t="s">
        <v>103</v>
      </c>
      <c r="C55" s="104"/>
      <c r="D55" s="104"/>
      <c r="E55" s="104"/>
      <c r="F55" s="19" t="s">
        <v>104</v>
      </c>
      <c r="G55" s="107"/>
    </row>
    <row r="56" spans="1:7" ht="16.5" x14ac:dyDescent="0.25">
      <c r="A56" s="107"/>
      <c r="B56" s="19" t="s">
        <v>105</v>
      </c>
      <c r="C56" s="104"/>
      <c r="D56" s="104"/>
      <c r="E56" s="104"/>
      <c r="F56" s="19" t="s">
        <v>106</v>
      </c>
      <c r="G56" s="107"/>
    </row>
    <row r="57" spans="1:7" ht="16.5" x14ac:dyDescent="0.25">
      <c r="A57" s="107"/>
      <c r="B57" s="19" t="s">
        <v>107</v>
      </c>
      <c r="C57" s="104"/>
      <c r="D57" s="104"/>
      <c r="E57" s="104"/>
      <c r="F57" s="19" t="s">
        <v>108</v>
      </c>
      <c r="G57" s="107"/>
    </row>
    <row r="58" spans="1:7" ht="16.5" x14ac:dyDescent="0.25">
      <c r="A58" s="107"/>
      <c r="B58" s="19" t="s">
        <v>109</v>
      </c>
      <c r="C58" s="104"/>
      <c r="D58" s="104"/>
      <c r="E58" s="104"/>
      <c r="F58" s="19" t="s">
        <v>110</v>
      </c>
      <c r="G58" s="107"/>
    </row>
    <row r="59" spans="1:7" ht="16.5" x14ac:dyDescent="0.25">
      <c r="A59" s="107"/>
      <c r="B59" s="19" t="s">
        <v>354</v>
      </c>
      <c r="C59" s="104"/>
      <c r="D59" s="104"/>
      <c r="E59" s="104"/>
      <c r="F59" s="19" t="s">
        <v>112</v>
      </c>
      <c r="G59" s="107"/>
    </row>
    <row r="60" spans="1:7" ht="16.5" x14ac:dyDescent="0.25">
      <c r="A60" s="107"/>
      <c r="B60" s="19" t="s">
        <v>113</v>
      </c>
      <c r="C60" s="104"/>
      <c r="D60" s="104"/>
      <c r="E60" s="104"/>
      <c r="F60" s="19" t="s">
        <v>114</v>
      </c>
      <c r="G60" s="107"/>
    </row>
    <row r="61" spans="1:7" ht="16.5" x14ac:dyDescent="0.25">
      <c r="A61" s="107"/>
      <c r="B61" s="19" t="s">
        <v>115</v>
      </c>
      <c r="C61" s="104"/>
      <c r="D61" s="104"/>
      <c r="E61" s="104"/>
      <c r="F61" s="19" t="s">
        <v>116</v>
      </c>
      <c r="G61" s="107"/>
    </row>
    <row r="62" spans="1:7" ht="16.5" x14ac:dyDescent="0.25">
      <c r="A62" s="107"/>
      <c r="B62" s="19" t="s">
        <v>117</v>
      </c>
      <c r="C62" s="104"/>
      <c r="D62" s="104"/>
      <c r="E62" s="104"/>
      <c r="F62" s="19" t="s">
        <v>118</v>
      </c>
      <c r="G62" s="107"/>
    </row>
    <row r="63" spans="1:7" ht="16.5" x14ac:dyDescent="0.25">
      <c r="A63" s="107"/>
      <c r="B63" s="19" t="s">
        <v>119</v>
      </c>
      <c r="C63" s="104"/>
      <c r="D63" s="104"/>
      <c r="E63" s="104"/>
      <c r="F63" s="19" t="s">
        <v>120</v>
      </c>
      <c r="G63" s="107"/>
    </row>
    <row r="64" spans="1:7" ht="17.25" thickBot="1" x14ac:dyDescent="0.3">
      <c r="A64" s="108"/>
      <c r="B64" s="25"/>
      <c r="C64" s="105"/>
      <c r="D64" s="105"/>
      <c r="E64" s="105"/>
      <c r="F64" s="31"/>
      <c r="G64" s="108"/>
    </row>
    <row r="65" spans="1:7" ht="17.25" thickBot="1" x14ac:dyDescent="0.3">
      <c r="A65" s="18"/>
      <c r="B65" s="100" t="s">
        <v>121</v>
      </c>
      <c r="C65" s="101"/>
      <c r="D65" s="102"/>
      <c r="E65" s="32">
        <v>79</v>
      </c>
      <c r="F65" s="33"/>
      <c r="G65" s="34"/>
    </row>
  </sheetData>
  <mergeCells count="76">
    <mergeCell ref="A54:A64"/>
    <mergeCell ref="C54:C64"/>
    <mergeCell ref="D54:D64"/>
    <mergeCell ref="E54:E64"/>
    <mergeCell ref="G54:G64"/>
    <mergeCell ref="B65:D65"/>
    <mergeCell ref="D48:D50"/>
    <mergeCell ref="E48:E50"/>
    <mergeCell ref="G48:G50"/>
    <mergeCell ref="C51:C53"/>
    <mergeCell ref="D51:D53"/>
    <mergeCell ref="E51:E53"/>
    <mergeCell ref="G51:G53"/>
    <mergeCell ref="A31:A43"/>
    <mergeCell ref="C31:C34"/>
    <mergeCell ref="D31:D34"/>
    <mergeCell ref="E31:E34"/>
    <mergeCell ref="G31:G34"/>
    <mergeCell ref="C35:C36"/>
    <mergeCell ref="A44:A53"/>
    <mergeCell ref="C44:C47"/>
    <mergeCell ref="D44:D47"/>
    <mergeCell ref="E44:E47"/>
    <mergeCell ref="G44:G47"/>
    <mergeCell ref="C48:C50"/>
    <mergeCell ref="C39:C40"/>
    <mergeCell ref="D39:D40"/>
    <mergeCell ref="E39:E40"/>
    <mergeCell ref="G39:G40"/>
    <mergeCell ref="C41:C43"/>
    <mergeCell ref="D41:D43"/>
    <mergeCell ref="E41:E43"/>
    <mergeCell ref="G41:G43"/>
    <mergeCell ref="D35:D36"/>
    <mergeCell ref="E35:E36"/>
    <mergeCell ref="G35:G36"/>
    <mergeCell ref="C37:C38"/>
    <mergeCell ref="C24:C27"/>
    <mergeCell ref="D24:D27"/>
    <mergeCell ref="E24:E27"/>
    <mergeCell ref="G24:G27"/>
    <mergeCell ref="C28:C30"/>
    <mergeCell ref="D28:D30"/>
    <mergeCell ref="E28:E30"/>
    <mergeCell ref="G28:G30"/>
    <mergeCell ref="D37:D38"/>
    <mergeCell ref="E37:E38"/>
    <mergeCell ref="G37:G38"/>
    <mergeCell ref="G13:G15"/>
    <mergeCell ref="A16:A30"/>
    <mergeCell ref="C16:C18"/>
    <mergeCell ref="D16:D18"/>
    <mergeCell ref="E16:E18"/>
    <mergeCell ref="G16:G18"/>
    <mergeCell ref="C19:C20"/>
    <mergeCell ref="D19:D20"/>
    <mergeCell ref="E19:E20"/>
    <mergeCell ref="F19:F20"/>
    <mergeCell ref="G19:G20"/>
    <mergeCell ref="C21:C23"/>
    <mergeCell ref="D21:D23"/>
    <mergeCell ref="E21:E23"/>
    <mergeCell ref="G21:G23"/>
    <mergeCell ref="B1:B3"/>
    <mergeCell ref="A4:A15"/>
    <mergeCell ref="C4:C8"/>
    <mergeCell ref="D4:D8"/>
    <mergeCell ref="E4:E8"/>
    <mergeCell ref="C13:C15"/>
    <mergeCell ref="D13:D15"/>
    <mergeCell ref="E13:E15"/>
    <mergeCell ref="G4:G8"/>
    <mergeCell ref="C9:C12"/>
    <mergeCell ref="D9:D12"/>
    <mergeCell ref="E9:E12"/>
    <mergeCell ref="G9:G12"/>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182D00-452E-4236-998E-E3A743EEFFA5}">
  <dimension ref="A1:G69"/>
  <sheetViews>
    <sheetView topLeftCell="A44" zoomScale="70" zoomScaleNormal="70" workbookViewId="0">
      <selection activeCell="E48" sqref="E48:E68"/>
    </sheetView>
  </sheetViews>
  <sheetFormatPr defaultRowHeight="15" x14ac:dyDescent="0.25"/>
  <cols>
    <col min="1" max="1" width="6.85546875" bestFit="1" customWidth="1"/>
    <col min="2" max="2" width="128.7109375" bestFit="1" customWidth="1"/>
    <col min="3" max="3" width="12.7109375" bestFit="1" customWidth="1"/>
    <col min="4" max="4" width="10.140625" bestFit="1" customWidth="1"/>
    <col min="5" max="5" width="8.42578125" bestFit="1" customWidth="1"/>
    <col min="6" max="6" width="206.140625" bestFit="1" customWidth="1"/>
    <col min="7" max="7" width="106.140625" bestFit="1" customWidth="1"/>
  </cols>
  <sheetData>
    <row r="1" spans="1:7" ht="16.5" x14ac:dyDescent="0.25">
      <c r="A1" s="35" t="s">
        <v>0</v>
      </c>
      <c r="B1" s="146" t="s">
        <v>1</v>
      </c>
      <c r="C1" s="36" t="s">
        <v>2</v>
      </c>
      <c r="D1" s="36" t="s">
        <v>3</v>
      </c>
      <c r="E1" s="36" t="s">
        <v>0</v>
      </c>
      <c r="F1" s="36" t="s">
        <v>4</v>
      </c>
      <c r="G1" s="36" t="s">
        <v>5</v>
      </c>
    </row>
    <row r="2" spans="1:7" ht="16.5" x14ac:dyDescent="0.25">
      <c r="A2" s="37" t="s">
        <v>6</v>
      </c>
      <c r="B2" s="147"/>
      <c r="C2" s="38" t="s">
        <v>7</v>
      </c>
      <c r="D2" s="38" t="s">
        <v>8</v>
      </c>
      <c r="E2" s="38" t="s">
        <v>9</v>
      </c>
      <c r="F2" s="38" t="s">
        <v>10</v>
      </c>
      <c r="G2" s="38" t="s">
        <v>11</v>
      </c>
    </row>
    <row r="3" spans="1:7" ht="17.25" thickBot="1" x14ac:dyDescent="0.3">
      <c r="A3" s="39"/>
      <c r="B3" s="148"/>
      <c r="C3" s="40" t="s">
        <v>12</v>
      </c>
      <c r="D3" s="40" t="s">
        <v>12</v>
      </c>
      <c r="E3" s="40" t="s">
        <v>13</v>
      </c>
      <c r="F3" s="41"/>
      <c r="G3" s="41"/>
    </row>
    <row r="4" spans="1:7" ht="16.5" x14ac:dyDescent="0.25">
      <c r="A4" s="106" t="s">
        <v>14</v>
      </c>
      <c r="B4" s="11" t="s">
        <v>297</v>
      </c>
      <c r="C4" s="103">
        <v>1</v>
      </c>
      <c r="D4" s="103">
        <v>4</v>
      </c>
      <c r="E4" s="103">
        <v>4</v>
      </c>
      <c r="F4" s="161" t="s">
        <v>357</v>
      </c>
      <c r="G4" s="106" t="s">
        <v>47</v>
      </c>
    </row>
    <row r="5" spans="1:7" ht="16.5" x14ac:dyDescent="0.25">
      <c r="A5" s="107"/>
      <c r="B5" s="30" t="s">
        <v>355</v>
      </c>
      <c r="C5" s="104"/>
      <c r="D5" s="104"/>
      <c r="E5" s="104"/>
      <c r="F5" s="162"/>
      <c r="G5" s="107"/>
    </row>
    <row r="6" spans="1:7" ht="16.5" x14ac:dyDescent="0.25">
      <c r="A6" s="107"/>
      <c r="B6" s="13" t="s">
        <v>356</v>
      </c>
      <c r="C6" s="104"/>
      <c r="D6" s="104"/>
      <c r="E6" s="104"/>
      <c r="F6" s="162"/>
      <c r="G6" s="107"/>
    </row>
    <row r="7" spans="1:7" ht="17.25" thickBot="1" x14ac:dyDescent="0.3">
      <c r="A7" s="107"/>
      <c r="B7" s="55"/>
      <c r="C7" s="111"/>
      <c r="D7" s="111"/>
      <c r="E7" s="111"/>
      <c r="F7" s="129"/>
      <c r="G7" s="108"/>
    </row>
    <row r="8" spans="1:7" ht="21" x14ac:dyDescent="0.25">
      <c r="A8" s="107"/>
      <c r="B8" s="56" t="s">
        <v>358</v>
      </c>
      <c r="C8" s="109">
        <v>1</v>
      </c>
      <c r="D8" s="109">
        <v>4</v>
      </c>
      <c r="E8" s="109">
        <v>4</v>
      </c>
      <c r="F8" s="19" t="s">
        <v>361</v>
      </c>
      <c r="G8" s="106" t="s">
        <v>47</v>
      </c>
    </row>
    <row r="9" spans="1:7" ht="16.5" x14ac:dyDescent="0.25">
      <c r="A9" s="107"/>
      <c r="B9" s="13" t="s">
        <v>359</v>
      </c>
      <c r="C9" s="104"/>
      <c r="D9" s="104"/>
      <c r="E9" s="104"/>
      <c r="F9" s="19" t="s">
        <v>362</v>
      </c>
      <c r="G9" s="107"/>
    </row>
    <row r="10" spans="1:7" ht="16.5" x14ac:dyDescent="0.25">
      <c r="A10" s="107"/>
      <c r="B10" s="13" t="s">
        <v>360</v>
      </c>
      <c r="C10" s="104"/>
      <c r="D10" s="104"/>
      <c r="E10" s="104"/>
      <c r="F10" s="19" t="s">
        <v>363</v>
      </c>
      <c r="G10" s="107"/>
    </row>
    <row r="11" spans="1:7" ht="17.25" thickBot="1" x14ac:dyDescent="0.3">
      <c r="A11" s="107"/>
      <c r="B11" s="20"/>
      <c r="C11" s="111"/>
      <c r="D11" s="111"/>
      <c r="E11" s="111"/>
      <c r="F11" s="52"/>
      <c r="G11" s="108"/>
    </row>
    <row r="12" spans="1:7" ht="16.5" x14ac:dyDescent="0.25">
      <c r="A12" s="107"/>
      <c r="B12" s="8" t="s">
        <v>364</v>
      </c>
      <c r="C12" s="109">
        <v>1</v>
      </c>
      <c r="D12" s="109">
        <v>3</v>
      </c>
      <c r="E12" s="109">
        <v>3</v>
      </c>
      <c r="F12" s="19" t="s">
        <v>367</v>
      </c>
      <c r="G12" s="106" t="s">
        <v>47</v>
      </c>
    </row>
    <row r="13" spans="1:7" ht="16.5" x14ac:dyDescent="0.25">
      <c r="A13" s="107"/>
      <c r="B13" s="19" t="s">
        <v>32</v>
      </c>
      <c r="C13" s="104"/>
      <c r="D13" s="104"/>
      <c r="E13" s="104"/>
      <c r="F13" s="19" t="s">
        <v>368</v>
      </c>
      <c r="G13" s="107"/>
    </row>
    <row r="14" spans="1:7" ht="16.5" x14ac:dyDescent="0.25">
      <c r="A14" s="107"/>
      <c r="B14" s="19" t="s">
        <v>365</v>
      </c>
      <c r="C14" s="104"/>
      <c r="D14" s="104"/>
      <c r="E14" s="104"/>
      <c r="F14" s="19" t="s">
        <v>369</v>
      </c>
      <c r="G14" s="107"/>
    </row>
    <row r="15" spans="1:7" ht="17.25" thickBot="1" x14ac:dyDescent="0.3">
      <c r="A15" s="108"/>
      <c r="B15" s="52" t="s">
        <v>366</v>
      </c>
      <c r="C15" s="111"/>
      <c r="D15" s="111"/>
      <c r="E15" s="111"/>
      <c r="F15" s="17"/>
      <c r="G15" s="112"/>
    </row>
    <row r="16" spans="1:7" ht="16.5" x14ac:dyDescent="0.25">
      <c r="A16" s="106" t="s">
        <v>34</v>
      </c>
      <c r="B16" s="8" t="s">
        <v>35</v>
      </c>
      <c r="C16" s="109">
        <v>1</v>
      </c>
      <c r="D16" s="109">
        <v>3</v>
      </c>
      <c r="E16" s="109">
        <v>3</v>
      </c>
      <c r="F16" s="19" t="s">
        <v>130</v>
      </c>
      <c r="G16" s="110" t="s">
        <v>17</v>
      </c>
    </row>
    <row r="17" spans="1:7" ht="16.5" x14ac:dyDescent="0.25">
      <c r="A17" s="107"/>
      <c r="B17" s="8" t="s">
        <v>37</v>
      </c>
      <c r="C17" s="104"/>
      <c r="D17" s="104"/>
      <c r="E17" s="104"/>
      <c r="F17" s="19" t="s">
        <v>312</v>
      </c>
      <c r="G17" s="107"/>
    </row>
    <row r="18" spans="1:7" ht="17.25" thickBot="1" x14ac:dyDescent="0.3">
      <c r="A18" s="107"/>
      <c r="B18" s="57" t="s">
        <v>39</v>
      </c>
      <c r="C18" s="105"/>
      <c r="D18" s="105"/>
      <c r="E18" s="105"/>
      <c r="F18" s="25"/>
      <c r="G18" s="108"/>
    </row>
    <row r="19" spans="1:7" ht="81.75" customHeight="1" x14ac:dyDescent="0.25">
      <c r="A19" s="107"/>
      <c r="B19" s="8" t="s">
        <v>40</v>
      </c>
      <c r="C19" s="103">
        <v>1</v>
      </c>
      <c r="D19" s="103">
        <v>3</v>
      </c>
      <c r="E19" s="103">
        <v>3</v>
      </c>
      <c r="F19" s="160" t="s">
        <v>132</v>
      </c>
      <c r="G19" s="106" t="s">
        <v>17</v>
      </c>
    </row>
    <row r="20" spans="1:7" ht="17.25" thickBot="1" x14ac:dyDescent="0.3">
      <c r="A20" s="107"/>
      <c r="B20" s="57" t="s">
        <v>42</v>
      </c>
      <c r="C20" s="105"/>
      <c r="D20" s="105"/>
      <c r="E20" s="105"/>
      <c r="F20" s="118"/>
      <c r="G20" s="108"/>
    </row>
    <row r="21" spans="1:7" ht="16.5" x14ac:dyDescent="0.25">
      <c r="A21" s="107"/>
      <c r="B21" s="8" t="s">
        <v>133</v>
      </c>
      <c r="C21" s="103">
        <v>1</v>
      </c>
      <c r="D21" s="103">
        <v>4</v>
      </c>
      <c r="E21" s="103">
        <v>4</v>
      </c>
      <c r="F21" s="19" t="s">
        <v>371</v>
      </c>
      <c r="G21" s="106" t="s">
        <v>17</v>
      </c>
    </row>
    <row r="22" spans="1:7" ht="17.25" thickBot="1" x14ac:dyDescent="0.3">
      <c r="A22" s="107"/>
      <c r="B22" s="57" t="s">
        <v>370</v>
      </c>
      <c r="C22" s="105"/>
      <c r="D22" s="105"/>
      <c r="E22" s="105"/>
      <c r="F22" s="28" t="s">
        <v>372</v>
      </c>
      <c r="G22" s="108"/>
    </row>
    <row r="23" spans="1:7" ht="16.5" x14ac:dyDescent="0.25">
      <c r="A23" s="107"/>
      <c r="B23" s="8" t="s">
        <v>137</v>
      </c>
      <c r="C23" s="103">
        <v>2</v>
      </c>
      <c r="D23" s="103">
        <v>4</v>
      </c>
      <c r="E23" s="103">
        <v>8</v>
      </c>
      <c r="F23" s="13" t="s">
        <v>54</v>
      </c>
      <c r="G23" s="106" t="s">
        <v>47</v>
      </c>
    </row>
    <row r="24" spans="1:7" ht="16.5" x14ac:dyDescent="0.25">
      <c r="A24" s="107"/>
      <c r="B24" s="13" t="s">
        <v>55</v>
      </c>
      <c r="C24" s="104"/>
      <c r="D24" s="104"/>
      <c r="E24" s="104"/>
      <c r="F24" s="13" t="s">
        <v>56</v>
      </c>
      <c r="G24" s="107"/>
    </row>
    <row r="25" spans="1:7" ht="16.5" x14ac:dyDescent="0.25">
      <c r="A25" s="107"/>
      <c r="B25" s="13" t="s">
        <v>57</v>
      </c>
      <c r="C25" s="104"/>
      <c r="D25" s="104"/>
      <c r="E25" s="104"/>
      <c r="F25" s="19" t="s">
        <v>320</v>
      </c>
      <c r="G25" s="107"/>
    </row>
    <row r="26" spans="1:7" ht="17.25" thickBot="1" x14ac:dyDescent="0.3">
      <c r="A26" s="107"/>
      <c r="B26" s="28" t="s">
        <v>373</v>
      </c>
      <c r="C26" s="105"/>
      <c r="D26" s="105"/>
      <c r="E26" s="105"/>
      <c r="F26" s="25"/>
      <c r="G26" s="108"/>
    </row>
    <row r="27" spans="1:7" ht="16.5" x14ac:dyDescent="0.25">
      <c r="A27" s="107"/>
      <c r="B27" s="8" t="s">
        <v>321</v>
      </c>
      <c r="C27" s="103">
        <v>1</v>
      </c>
      <c r="D27" s="103">
        <v>4</v>
      </c>
      <c r="E27" s="103">
        <v>4</v>
      </c>
      <c r="F27" s="13" t="s">
        <v>148</v>
      </c>
      <c r="G27" s="106" t="s">
        <v>47</v>
      </c>
    </row>
    <row r="28" spans="1:7" ht="16.5" x14ac:dyDescent="0.25">
      <c r="A28" s="107"/>
      <c r="B28" s="13" t="s">
        <v>374</v>
      </c>
      <c r="C28" s="104"/>
      <c r="D28" s="104"/>
      <c r="E28" s="104"/>
      <c r="F28" s="13" t="s">
        <v>376</v>
      </c>
      <c r="G28" s="107"/>
    </row>
    <row r="29" spans="1:7" ht="17.25" thickBot="1" x14ac:dyDescent="0.3">
      <c r="A29" s="108"/>
      <c r="B29" s="28" t="s">
        <v>375</v>
      </c>
      <c r="C29" s="105"/>
      <c r="D29" s="105"/>
      <c r="E29" s="105"/>
      <c r="F29" s="25"/>
      <c r="G29" s="108"/>
    </row>
    <row r="30" spans="1:7" ht="16.5" x14ac:dyDescent="0.25">
      <c r="A30" s="106" t="s">
        <v>81</v>
      </c>
      <c r="B30" s="8" t="s">
        <v>150</v>
      </c>
      <c r="C30" s="103">
        <v>2</v>
      </c>
      <c r="D30" s="103">
        <v>3</v>
      </c>
      <c r="E30" s="103">
        <v>6</v>
      </c>
      <c r="F30" s="13" t="s">
        <v>379</v>
      </c>
      <c r="G30" s="106" t="s">
        <v>381</v>
      </c>
    </row>
    <row r="31" spans="1:7" ht="16.5" x14ac:dyDescent="0.25">
      <c r="A31" s="107"/>
      <c r="B31" s="8" t="s">
        <v>325</v>
      </c>
      <c r="C31" s="104"/>
      <c r="D31" s="104"/>
      <c r="E31" s="104"/>
      <c r="F31" s="13" t="s">
        <v>380</v>
      </c>
      <c r="G31" s="107"/>
    </row>
    <row r="32" spans="1:7" ht="16.5" x14ac:dyDescent="0.25">
      <c r="A32" s="107"/>
      <c r="B32" s="13" t="s">
        <v>377</v>
      </c>
      <c r="C32" s="104"/>
      <c r="D32" s="104"/>
      <c r="E32" s="104"/>
      <c r="F32" s="15"/>
      <c r="G32" s="107"/>
    </row>
    <row r="33" spans="1:7" ht="17.25" thickBot="1" x14ac:dyDescent="0.3">
      <c r="A33" s="107"/>
      <c r="B33" s="16" t="s">
        <v>378</v>
      </c>
      <c r="C33" s="111"/>
      <c r="D33" s="111"/>
      <c r="E33" s="111"/>
      <c r="F33" s="17"/>
      <c r="G33" s="112"/>
    </row>
    <row r="34" spans="1:7" ht="16.5" x14ac:dyDescent="0.25">
      <c r="A34" s="107"/>
      <c r="B34" s="8" t="s">
        <v>282</v>
      </c>
      <c r="C34" s="109">
        <v>1</v>
      </c>
      <c r="D34" s="109">
        <v>3</v>
      </c>
      <c r="E34" s="109">
        <v>3</v>
      </c>
      <c r="F34" s="13" t="s">
        <v>383</v>
      </c>
      <c r="G34" s="110" t="s">
        <v>17</v>
      </c>
    </row>
    <row r="35" spans="1:7" ht="17.25" thickBot="1" x14ac:dyDescent="0.3">
      <c r="A35" s="107"/>
      <c r="B35" s="21" t="s">
        <v>382</v>
      </c>
      <c r="C35" s="111"/>
      <c r="D35" s="111"/>
      <c r="E35" s="111"/>
      <c r="F35" s="16" t="s">
        <v>384</v>
      </c>
      <c r="G35" s="112"/>
    </row>
    <row r="36" spans="1:7" ht="16.5" x14ac:dyDescent="0.25">
      <c r="A36" s="107"/>
      <c r="B36" s="8" t="s">
        <v>385</v>
      </c>
      <c r="C36" s="109">
        <v>1</v>
      </c>
      <c r="D36" s="109">
        <v>3</v>
      </c>
      <c r="E36" s="109">
        <v>3</v>
      </c>
      <c r="F36" s="110" t="s">
        <v>387</v>
      </c>
      <c r="G36" s="110" t="s">
        <v>47</v>
      </c>
    </row>
    <row r="37" spans="1:7" ht="33" x14ac:dyDescent="0.25">
      <c r="A37" s="107"/>
      <c r="B37" s="27" t="s">
        <v>386</v>
      </c>
      <c r="C37" s="104"/>
      <c r="D37" s="104"/>
      <c r="E37" s="104"/>
      <c r="F37" s="107"/>
      <c r="G37" s="107"/>
    </row>
    <row r="38" spans="1:7" ht="15.75" thickBot="1" x14ac:dyDescent="0.3">
      <c r="A38" s="107"/>
      <c r="B38" s="17"/>
      <c r="C38" s="111"/>
      <c r="D38" s="111"/>
      <c r="E38" s="111"/>
      <c r="F38" s="112"/>
      <c r="G38" s="112"/>
    </row>
    <row r="39" spans="1:7" ht="16.5" x14ac:dyDescent="0.25">
      <c r="A39" s="107"/>
      <c r="B39" s="8" t="s">
        <v>388</v>
      </c>
      <c r="C39" s="109">
        <v>1</v>
      </c>
      <c r="D39" s="109">
        <v>3</v>
      </c>
      <c r="E39" s="109">
        <v>3</v>
      </c>
      <c r="F39" s="110" t="s">
        <v>390</v>
      </c>
      <c r="G39" s="110" t="s">
        <v>47</v>
      </c>
    </row>
    <row r="40" spans="1:7" ht="17.25" thickBot="1" x14ac:dyDescent="0.3">
      <c r="A40" s="107"/>
      <c r="B40" s="21" t="s">
        <v>389</v>
      </c>
      <c r="C40" s="111"/>
      <c r="D40" s="111"/>
      <c r="E40" s="111"/>
      <c r="F40" s="112"/>
      <c r="G40" s="112"/>
    </row>
    <row r="41" spans="1:7" ht="16.5" x14ac:dyDescent="0.25">
      <c r="A41" s="107"/>
      <c r="B41" s="8" t="s">
        <v>391</v>
      </c>
      <c r="C41" s="109">
        <v>1</v>
      </c>
      <c r="D41" s="109">
        <v>3</v>
      </c>
      <c r="E41" s="109">
        <v>3</v>
      </c>
      <c r="F41" s="110" t="s">
        <v>393</v>
      </c>
      <c r="G41" s="110" t="s">
        <v>47</v>
      </c>
    </row>
    <row r="42" spans="1:7" ht="33.75" thickBot="1" x14ac:dyDescent="0.3">
      <c r="A42" s="107"/>
      <c r="B42" s="54" t="s">
        <v>392</v>
      </c>
      <c r="C42" s="111"/>
      <c r="D42" s="111"/>
      <c r="E42" s="111"/>
      <c r="F42" s="112"/>
      <c r="G42" s="112"/>
    </row>
    <row r="43" spans="1:7" ht="16.5" x14ac:dyDescent="0.25">
      <c r="A43" s="107"/>
      <c r="B43" s="8" t="s">
        <v>394</v>
      </c>
      <c r="C43" s="109">
        <v>1</v>
      </c>
      <c r="D43" s="109">
        <v>3</v>
      </c>
      <c r="E43" s="109">
        <v>3</v>
      </c>
      <c r="F43" s="110" t="s">
        <v>393</v>
      </c>
      <c r="G43" s="110" t="s">
        <v>47</v>
      </c>
    </row>
    <row r="44" spans="1:7" ht="33.75" thickBot="1" x14ac:dyDescent="0.3">
      <c r="A44" s="107"/>
      <c r="B44" s="54" t="s">
        <v>395</v>
      </c>
      <c r="C44" s="111"/>
      <c r="D44" s="111"/>
      <c r="E44" s="111"/>
      <c r="F44" s="112"/>
      <c r="G44" s="112"/>
    </row>
    <row r="45" spans="1:7" ht="16.5" x14ac:dyDescent="0.25">
      <c r="A45" s="107"/>
      <c r="B45" s="8" t="s">
        <v>396</v>
      </c>
      <c r="C45" s="109">
        <v>1</v>
      </c>
      <c r="D45" s="109">
        <v>4</v>
      </c>
      <c r="E45" s="109">
        <v>4</v>
      </c>
      <c r="F45" s="19" t="s">
        <v>77</v>
      </c>
      <c r="G45" s="110" t="s">
        <v>47</v>
      </c>
    </row>
    <row r="46" spans="1:7" ht="16.5" x14ac:dyDescent="0.25">
      <c r="A46" s="107"/>
      <c r="B46" s="13" t="s">
        <v>397</v>
      </c>
      <c r="C46" s="104"/>
      <c r="D46" s="104"/>
      <c r="E46" s="104"/>
      <c r="F46" s="19" t="s">
        <v>398</v>
      </c>
      <c r="G46" s="107"/>
    </row>
    <row r="47" spans="1:7" ht="17.25" thickBot="1" x14ac:dyDescent="0.3">
      <c r="A47" s="108"/>
      <c r="B47" s="16" t="s">
        <v>80</v>
      </c>
      <c r="C47" s="111"/>
      <c r="D47" s="111"/>
      <c r="E47" s="111"/>
      <c r="F47" s="17"/>
      <c r="G47" s="112"/>
    </row>
    <row r="48" spans="1:7" ht="16.5" x14ac:dyDescent="0.25">
      <c r="A48" s="106" t="s">
        <v>173</v>
      </c>
      <c r="B48" s="8" t="s">
        <v>174</v>
      </c>
      <c r="C48" s="109">
        <v>1</v>
      </c>
      <c r="D48" s="109">
        <v>3</v>
      </c>
      <c r="E48" s="109">
        <v>3</v>
      </c>
      <c r="F48" s="13" t="s">
        <v>401</v>
      </c>
      <c r="G48" s="110" t="s">
        <v>47</v>
      </c>
    </row>
    <row r="49" spans="1:7" ht="16.5" x14ac:dyDescent="0.25">
      <c r="A49" s="107"/>
      <c r="B49" s="8" t="s">
        <v>84</v>
      </c>
      <c r="C49" s="104"/>
      <c r="D49" s="104"/>
      <c r="E49" s="104"/>
      <c r="F49" s="13" t="s">
        <v>85</v>
      </c>
      <c r="G49" s="107"/>
    </row>
    <row r="50" spans="1:7" ht="16.5" x14ac:dyDescent="0.25">
      <c r="A50" s="107"/>
      <c r="B50" s="13" t="s">
        <v>399</v>
      </c>
      <c r="C50" s="104"/>
      <c r="D50" s="104"/>
      <c r="E50" s="104"/>
      <c r="F50" s="19"/>
      <c r="G50" s="107"/>
    </row>
    <row r="51" spans="1:7" ht="17.25" thickBot="1" x14ac:dyDescent="0.3">
      <c r="A51" s="107"/>
      <c r="B51" s="28" t="s">
        <v>400</v>
      </c>
      <c r="C51" s="105"/>
      <c r="D51" s="105"/>
      <c r="E51" s="105"/>
      <c r="F51" s="25"/>
      <c r="G51" s="108"/>
    </row>
    <row r="52" spans="1:7" ht="16.5" x14ac:dyDescent="0.25">
      <c r="A52" s="107"/>
      <c r="B52" s="8" t="s">
        <v>88</v>
      </c>
      <c r="C52" s="103">
        <v>1</v>
      </c>
      <c r="D52" s="103">
        <v>3</v>
      </c>
      <c r="E52" s="103">
        <v>3</v>
      </c>
      <c r="F52" s="13" t="s">
        <v>403</v>
      </c>
      <c r="G52" s="106" t="s">
        <v>47</v>
      </c>
    </row>
    <row r="53" spans="1:7" ht="16.5" x14ac:dyDescent="0.25">
      <c r="A53" s="107"/>
      <c r="B53" s="13" t="s">
        <v>402</v>
      </c>
      <c r="C53" s="104"/>
      <c r="D53" s="104"/>
      <c r="E53" s="104"/>
      <c r="F53" s="13" t="s">
        <v>91</v>
      </c>
      <c r="G53" s="107"/>
    </row>
    <row r="54" spans="1:7" ht="17.25" thickBot="1" x14ac:dyDescent="0.3">
      <c r="A54" s="107"/>
      <c r="B54" s="28" t="s">
        <v>92</v>
      </c>
      <c r="C54" s="105"/>
      <c r="D54" s="105"/>
      <c r="E54" s="105"/>
      <c r="F54" s="25"/>
      <c r="G54" s="108"/>
    </row>
    <row r="55" spans="1:7" ht="16.5" x14ac:dyDescent="0.25">
      <c r="A55" s="107"/>
      <c r="B55" s="8" t="s">
        <v>93</v>
      </c>
      <c r="C55" s="103">
        <v>1</v>
      </c>
      <c r="D55" s="103">
        <v>3</v>
      </c>
      <c r="E55" s="103">
        <v>3</v>
      </c>
      <c r="F55" s="13" t="s">
        <v>406</v>
      </c>
      <c r="G55" s="106" t="s">
        <v>95</v>
      </c>
    </row>
    <row r="56" spans="1:7" ht="16.5" x14ac:dyDescent="0.25">
      <c r="A56" s="107"/>
      <c r="B56" s="13" t="s">
        <v>404</v>
      </c>
      <c r="C56" s="104"/>
      <c r="D56" s="104"/>
      <c r="E56" s="104"/>
      <c r="F56" s="13" t="s">
        <v>97</v>
      </c>
      <c r="G56" s="107"/>
    </row>
    <row r="57" spans="1:7" ht="17.25" thickBot="1" x14ac:dyDescent="0.3">
      <c r="A57" s="108"/>
      <c r="B57" s="28" t="s">
        <v>405</v>
      </c>
      <c r="C57" s="105"/>
      <c r="D57" s="105"/>
      <c r="E57" s="105"/>
      <c r="F57" s="25"/>
      <c r="G57" s="108"/>
    </row>
    <row r="58" spans="1:7" ht="16.5" x14ac:dyDescent="0.25">
      <c r="A58" s="106" t="s">
        <v>184</v>
      </c>
      <c r="B58" s="30" t="s">
        <v>407</v>
      </c>
      <c r="C58" s="103">
        <v>1</v>
      </c>
      <c r="D58" s="103">
        <v>3</v>
      </c>
      <c r="E58" s="103">
        <v>3</v>
      </c>
      <c r="F58" s="19" t="s">
        <v>101</v>
      </c>
      <c r="G58" s="106" t="s">
        <v>102</v>
      </c>
    </row>
    <row r="59" spans="1:7" ht="16.5" x14ac:dyDescent="0.25">
      <c r="A59" s="107"/>
      <c r="B59" s="19" t="s">
        <v>103</v>
      </c>
      <c r="C59" s="104"/>
      <c r="D59" s="104"/>
      <c r="E59" s="104"/>
      <c r="F59" s="19" t="s">
        <v>104</v>
      </c>
      <c r="G59" s="107"/>
    </row>
    <row r="60" spans="1:7" ht="16.5" x14ac:dyDescent="0.25">
      <c r="A60" s="107"/>
      <c r="B60" s="19" t="s">
        <v>105</v>
      </c>
      <c r="C60" s="104"/>
      <c r="D60" s="104"/>
      <c r="E60" s="104"/>
      <c r="F60" s="19" t="s">
        <v>106</v>
      </c>
      <c r="G60" s="107"/>
    </row>
    <row r="61" spans="1:7" ht="16.5" x14ac:dyDescent="0.25">
      <c r="A61" s="107"/>
      <c r="B61" s="19" t="s">
        <v>107</v>
      </c>
      <c r="C61" s="104"/>
      <c r="D61" s="104"/>
      <c r="E61" s="104"/>
      <c r="F61" s="19" t="s">
        <v>108</v>
      </c>
      <c r="G61" s="107"/>
    </row>
    <row r="62" spans="1:7" ht="16.5" x14ac:dyDescent="0.25">
      <c r="A62" s="107"/>
      <c r="B62" s="19" t="s">
        <v>109</v>
      </c>
      <c r="C62" s="104"/>
      <c r="D62" s="104"/>
      <c r="E62" s="104"/>
      <c r="F62" s="19" t="s">
        <v>110</v>
      </c>
      <c r="G62" s="107"/>
    </row>
    <row r="63" spans="1:7" ht="16.5" x14ac:dyDescent="0.25">
      <c r="A63" s="107"/>
      <c r="B63" s="19" t="s">
        <v>111</v>
      </c>
      <c r="C63" s="104"/>
      <c r="D63" s="104"/>
      <c r="E63" s="104"/>
      <c r="F63" s="19" t="s">
        <v>112</v>
      </c>
      <c r="G63" s="107"/>
    </row>
    <row r="64" spans="1:7" ht="16.5" x14ac:dyDescent="0.25">
      <c r="A64" s="107"/>
      <c r="B64" s="19" t="s">
        <v>113</v>
      </c>
      <c r="C64" s="104"/>
      <c r="D64" s="104"/>
      <c r="E64" s="104"/>
      <c r="F64" s="19" t="s">
        <v>114</v>
      </c>
      <c r="G64" s="107"/>
    </row>
    <row r="65" spans="1:7" ht="16.5" x14ac:dyDescent="0.25">
      <c r="A65" s="107"/>
      <c r="B65" s="19" t="s">
        <v>115</v>
      </c>
      <c r="C65" s="104"/>
      <c r="D65" s="104"/>
      <c r="E65" s="104"/>
      <c r="F65" s="19" t="s">
        <v>116</v>
      </c>
      <c r="G65" s="107"/>
    </row>
    <row r="66" spans="1:7" ht="16.5" x14ac:dyDescent="0.25">
      <c r="A66" s="107"/>
      <c r="B66" s="19" t="s">
        <v>117</v>
      </c>
      <c r="C66" s="104"/>
      <c r="D66" s="104"/>
      <c r="E66" s="104"/>
      <c r="F66" s="19" t="s">
        <v>118</v>
      </c>
      <c r="G66" s="107"/>
    </row>
    <row r="67" spans="1:7" ht="16.5" x14ac:dyDescent="0.25">
      <c r="A67" s="107"/>
      <c r="B67" s="19" t="s">
        <v>119</v>
      </c>
      <c r="C67" s="104"/>
      <c r="D67" s="104"/>
      <c r="E67" s="104"/>
      <c r="F67" s="19" t="s">
        <v>120</v>
      </c>
      <c r="G67" s="107"/>
    </row>
    <row r="68" spans="1:7" ht="17.25" thickBot="1" x14ac:dyDescent="0.3">
      <c r="A68" s="108"/>
      <c r="B68" s="25"/>
      <c r="C68" s="105"/>
      <c r="D68" s="105"/>
      <c r="E68" s="105"/>
      <c r="F68" s="31"/>
      <c r="G68" s="108"/>
    </row>
    <row r="69" spans="1:7" ht="17.25" thickBot="1" x14ac:dyDescent="0.3">
      <c r="A69" s="18"/>
      <c r="B69" s="100" t="s">
        <v>121</v>
      </c>
      <c r="C69" s="101"/>
      <c r="D69" s="102"/>
      <c r="E69" s="32">
        <v>70</v>
      </c>
      <c r="F69" s="33"/>
      <c r="G69" s="34"/>
    </row>
  </sheetData>
  <mergeCells count="89">
    <mergeCell ref="B69:D69"/>
    <mergeCell ref="D55:D57"/>
    <mergeCell ref="E55:E57"/>
    <mergeCell ref="G55:G57"/>
    <mergeCell ref="A58:A68"/>
    <mergeCell ref="C58:C68"/>
    <mergeCell ref="D58:D68"/>
    <mergeCell ref="E58:E68"/>
    <mergeCell ref="G58:G68"/>
    <mergeCell ref="A48:A57"/>
    <mergeCell ref="C48:C51"/>
    <mergeCell ref="D48:D51"/>
    <mergeCell ref="E48:E51"/>
    <mergeCell ref="G48:G51"/>
    <mergeCell ref="C52:C54"/>
    <mergeCell ref="D52:D54"/>
    <mergeCell ref="E52:E54"/>
    <mergeCell ref="G52:G54"/>
    <mergeCell ref="C55:C57"/>
    <mergeCell ref="C43:C44"/>
    <mergeCell ref="D43:D44"/>
    <mergeCell ref="E43:E44"/>
    <mergeCell ref="F43:F44"/>
    <mergeCell ref="G43:G44"/>
    <mergeCell ref="C45:C47"/>
    <mergeCell ref="D45:D47"/>
    <mergeCell ref="E45:E47"/>
    <mergeCell ref="G45:G47"/>
    <mergeCell ref="C39:C40"/>
    <mergeCell ref="D39:D40"/>
    <mergeCell ref="E39:E40"/>
    <mergeCell ref="F39:F40"/>
    <mergeCell ref="G39:G40"/>
    <mergeCell ref="C41:C42"/>
    <mergeCell ref="D41:D42"/>
    <mergeCell ref="E41:E42"/>
    <mergeCell ref="F41:F42"/>
    <mergeCell ref="G41:G42"/>
    <mergeCell ref="D34:D35"/>
    <mergeCell ref="E34:E35"/>
    <mergeCell ref="G34:G35"/>
    <mergeCell ref="C36:C38"/>
    <mergeCell ref="D36:D38"/>
    <mergeCell ref="E36:E38"/>
    <mergeCell ref="F36:F38"/>
    <mergeCell ref="G36:G38"/>
    <mergeCell ref="C27:C29"/>
    <mergeCell ref="D27:D29"/>
    <mergeCell ref="E27:E29"/>
    <mergeCell ref="G27:G29"/>
    <mergeCell ref="A30:A47"/>
    <mergeCell ref="C30:C33"/>
    <mergeCell ref="D30:D33"/>
    <mergeCell ref="E30:E33"/>
    <mergeCell ref="G30:G33"/>
    <mergeCell ref="C34:C35"/>
    <mergeCell ref="A16:A29"/>
    <mergeCell ref="C16:C18"/>
    <mergeCell ref="D16:D18"/>
    <mergeCell ref="E16:E18"/>
    <mergeCell ref="G16:G18"/>
    <mergeCell ref="C19:C20"/>
    <mergeCell ref="C21:C22"/>
    <mergeCell ref="D21:D22"/>
    <mergeCell ref="E21:E22"/>
    <mergeCell ref="G21:G22"/>
    <mergeCell ref="C23:C26"/>
    <mergeCell ref="D23:D26"/>
    <mergeCell ref="E23:E26"/>
    <mergeCell ref="G23:G26"/>
    <mergeCell ref="D19:D20"/>
    <mergeCell ref="E19:E20"/>
    <mergeCell ref="F19:F20"/>
    <mergeCell ref="G19:G20"/>
    <mergeCell ref="G4:G7"/>
    <mergeCell ref="F4:F7"/>
    <mergeCell ref="G8:G11"/>
    <mergeCell ref="C12:C15"/>
    <mergeCell ref="D12:D15"/>
    <mergeCell ref="E12:E15"/>
    <mergeCell ref="G12:G15"/>
    <mergeCell ref="B1:B3"/>
    <mergeCell ref="A4:A15"/>
    <mergeCell ref="C4:C7"/>
    <mergeCell ref="D4:D7"/>
    <mergeCell ref="E4:E7"/>
    <mergeCell ref="C8:C11"/>
    <mergeCell ref="D8:D11"/>
    <mergeCell ref="E8:E11"/>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A704D3-E71B-4E21-B6A5-3FF0CDF160ED}">
  <dimension ref="A1:G57"/>
  <sheetViews>
    <sheetView topLeftCell="A13" zoomScale="55" zoomScaleNormal="55" workbookViewId="0">
      <selection activeCell="E36" sqref="E36:E56"/>
    </sheetView>
  </sheetViews>
  <sheetFormatPr defaultRowHeight="15" x14ac:dyDescent="0.25"/>
  <cols>
    <col min="1" max="1" width="6.85546875" bestFit="1" customWidth="1"/>
    <col min="2" max="2" width="179.5703125" bestFit="1" customWidth="1"/>
    <col min="3" max="3" width="11.140625" bestFit="1" customWidth="1"/>
    <col min="4" max="4" width="9" bestFit="1" customWidth="1"/>
    <col min="5" max="5" width="7.5703125" bestFit="1" customWidth="1"/>
    <col min="6" max="6" width="219" bestFit="1" customWidth="1"/>
    <col min="7" max="7" width="119" bestFit="1" customWidth="1"/>
  </cols>
  <sheetData>
    <row r="1" spans="1:7" ht="16.5" x14ac:dyDescent="0.25">
      <c r="A1" s="43" t="s">
        <v>0</v>
      </c>
      <c r="B1" s="120" t="s">
        <v>1</v>
      </c>
      <c r="C1" s="44" t="s">
        <v>2</v>
      </c>
      <c r="D1" s="44" t="s">
        <v>3</v>
      </c>
      <c r="E1" s="44" t="s">
        <v>0</v>
      </c>
      <c r="F1" s="44" t="s">
        <v>4</v>
      </c>
      <c r="G1" s="120" t="s">
        <v>408</v>
      </c>
    </row>
    <row r="2" spans="1:7" ht="16.5" x14ac:dyDescent="0.25">
      <c r="A2" s="45" t="s">
        <v>6</v>
      </c>
      <c r="B2" s="121"/>
      <c r="C2" s="46" t="s">
        <v>7</v>
      </c>
      <c r="D2" s="46" t="s">
        <v>8</v>
      </c>
      <c r="E2" s="46" t="s">
        <v>9</v>
      </c>
      <c r="F2" s="46" t="s">
        <v>10</v>
      </c>
      <c r="G2" s="121"/>
    </row>
    <row r="3" spans="1:7" ht="17.25" thickBot="1" x14ac:dyDescent="0.3">
      <c r="A3" s="58"/>
      <c r="B3" s="122"/>
      <c r="C3" s="47" t="s">
        <v>12</v>
      </c>
      <c r="D3" s="47" t="s">
        <v>12</v>
      </c>
      <c r="E3" s="47" t="s">
        <v>13</v>
      </c>
      <c r="F3" s="41"/>
      <c r="G3" s="122"/>
    </row>
    <row r="4" spans="1:7" ht="21" x14ac:dyDescent="0.25">
      <c r="A4" s="110" t="s">
        <v>14</v>
      </c>
      <c r="B4" s="8" t="s">
        <v>15</v>
      </c>
      <c r="C4" s="103">
        <v>2</v>
      </c>
      <c r="D4" s="103">
        <v>3</v>
      </c>
      <c r="E4" s="103">
        <v>6</v>
      </c>
      <c r="F4" s="9" t="s">
        <v>411</v>
      </c>
      <c r="G4" s="106" t="s">
        <v>47</v>
      </c>
    </row>
    <row r="5" spans="1:7" ht="21" x14ac:dyDescent="0.25">
      <c r="A5" s="107"/>
      <c r="B5" s="8" t="s">
        <v>122</v>
      </c>
      <c r="C5" s="104"/>
      <c r="D5" s="104"/>
      <c r="E5" s="104"/>
      <c r="F5" s="9" t="s">
        <v>412</v>
      </c>
      <c r="G5" s="107"/>
    </row>
    <row r="6" spans="1:7" ht="21" x14ac:dyDescent="0.25">
      <c r="A6" s="107"/>
      <c r="B6" s="19" t="s">
        <v>409</v>
      </c>
      <c r="C6" s="104"/>
      <c r="D6" s="104"/>
      <c r="E6" s="104"/>
      <c r="F6" s="9" t="s">
        <v>126</v>
      </c>
      <c r="G6" s="107"/>
    </row>
    <row r="7" spans="1:7" ht="17.25" thickBot="1" x14ac:dyDescent="0.3">
      <c r="A7" s="107"/>
      <c r="B7" s="52" t="s">
        <v>410</v>
      </c>
      <c r="C7" s="111"/>
      <c r="D7" s="111"/>
      <c r="E7" s="111"/>
      <c r="F7" s="59"/>
      <c r="G7" s="108"/>
    </row>
    <row r="8" spans="1:7" ht="21" x14ac:dyDescent="0.25">
      <c r="A8" s="107"/>
      <c r="B8" s="8" t="s">
        <v>127</v>
      </c>
      <c r="C8" s="109">
        <v>1</v>
      </c>
      <c r="D8" s="109">
        <v>4</v>
      </c>
      <c r="E8" s="109">
        <v>4</v>
      </c>
      <c r="F8" s="9" t="s">
        <v>411</v>
      </c>
      <c r="G8" s="106" t="s">
        <v>47</v>
      </c>
    </row>
    <row r="9" spans="1:7" ht="21" x14ac:dyDescent="0.25">
      <c r="A9" s="107"/>
      <c r="B9" s="13" t="s">
        <v>413</v>
      </c>
      <c r="C9" s="104"/>
      <c r="D9" s="104"/>
      <c r="E9" s="104"/>
      <c r="F9" s="9" t="s">
        <v>125</v>
      </c>
      <c r="G9" s="107"/>
    </row>
    <row r="10" spans="1:7" ht="21.75" thickBot="1" x14ac:dyDescent="0.3">
      <c r="A10" s="108"/>
      <c r="B10" s="20"/>
      <c r="C10" s="111"/>
      <c r="D10" s="111"/>
      <c r="E10" s="111"/>
      <c r="F10" s="42" t="s">
        <v>129</v>
      </c>
      <c r="G10" s="108"/>
    </row>
    <row r="11" spans="1:7" ht="16.5" x14ac:dyDescent="0.25">
      <c r="A11" s="106" t="s">
        <v>34</v>
      </c>
      <c r="B11" s="8" t="s">
        <v>35</v>
      </c>
      <c r="C11" s="109">
        <v>1</v>
      </c>
      <c r="D11" s="109">
        <v>4</v>
      </c>
      <c r="E11" s="109">
        <v>4</v>
      </c>
      <c r="F11" s="19" t="s">
        <v>130</v>
      </c>
      <c r="G11" s="106" t="s">
        <v>17</v>
      </c>
    </row>
    <row r="12" spans="1:7" ht="16.5" x14ac:dyDescent="0.25">
      <c r="A12" s="107"/>
      <c r="B12" s="8" t="s">
        <v>37</v>
      </c>
      <c r="C12" s="104"/>
      <c r="D12" s="104"/>
      <c r="E12" s="104"/>
      <c r="F12" s="19" t="s">
        <v>131</v>
      </c>
      <c r="G12" s="107"/>
    </row>
    <row r="13" spans="1:7" ht="17.25" thickBot="1" x14ac:dyDescent="0.3">
      <c r="A13" s="107"/>
      <c r="B13" s="16" t="s">
        <v>266</v>
      </c>
      <c r="C13" s="111"/>
      <c r="D13" s="111"/>
      <c r="E13" s="111"/>
      <c r="F13" s="59"/>
      <c r="G13" s="108"/>
    </row>
    <row r="14" spans="1:7" ht="16.5" x14ac:dyDescent="0.25">
      <c r="A14" s="107"/>
      <c r="B14" s="8" t="s">
        <v>40</v>
      </c>
      <c r="C14" s="109">
        <v>1</v>
      </c>
      <c r="D14" s="109">
        <v>4</v>
      </c>
      <c r="E14" s="109">
        <v>4</v>
      </c>
      <c r="F14" s="128" t="s">
        <v>414</v>
      </c>
      <c r="G14" s="106" t="s">
        <v>17</v>
      </c>
    </row>
    <row r="15" spans="1:7" ht="17.25" thickBot="1" x14ac:dyDescent="0.3">
      <c r="A15" s="107"/>
      <c r="B15" s="16" t="s">
        <v>267</v>
      </c>
      <c r="C15" s="111"/>
      <c r="D15" s="111"/>
      <c r="E15" s="111"/>
      <c r="F15" s="129"/>
      <c r="G15" s="108"/>
    </row>
    <row r="16" spans="1:7" ht="16.5" x14ac:dyDescent="0.25">
      <c r="A16" s="107"/>
      <c r="B16" s="8" t="s">
        <v>133</v>
      </c>
      <c r="C16" s="109">
        <v>1</v>
      </c>
      <c r="D16" s="109">
        <v>4</v>
      </c>
      <c r="E16" s="109">
        <v>4</v>
      </c>
      <c r="F16" s="19" t="s">
        <v>415</v>
      </c>
      <c r="G16" s="106" t="s">
        <v>17</v>
      </c>
    </row>
    <row r="17" spans="1:7" ht="21" x14ac:dyDescent="0.25">
      <c r="A17" s="107"/>
      <c r="B17" s="13" t="s">
        <v>134</v>
      </c>
      <c r="C17" s="104"/>
      <c r="D17" s="104"/>
      <c r="E17" s="104"/>
      <c r="F17" s="9" t="s">
        <v>416</v>
      </c>
      <c r="G17" s="107"/>
    </row>
    <row r="18" spans="1:7" ht="17.25" thickBot="1" x14ac:dyDescent="0.3">
      <c r="A18" s="107"/>
      <c r="B18" s="55"/>
      <c r="C18" s="111"/>
      <c r="D18" s="111"/>
      <c r="E18" s="111"/>
      <c r="F18" s="17"/>
      <c r="G18" s="112"/>
    </row>
    <row r="19" spans="1:7" ht="16.5" x14ac:dyDescent="0.25">
      <c r="A19" s="107"/>
      <c r="B19" s="8" t="s">
        <v>137</v>
      </c>
      <c r="C19" s="109">
        <v>2</v>
      </c>
      <c r="D19" s="109">
        <v>4</v>
      </c>
      <c r="E19" s="109">
        <v>8</v>
      </c>
      <c r="F19" s="13" t="s">
        <v>54</v>
      </c>
      <c r="G19" s="110" t="s">
        <v>47</v>
      </c>
    </row>
    <row r="20" spans="1:7" ht="16.5" x14ac:dyDescent="0.25">
      <c r="A20" s="107"/>
      <c r="B20" s="13" t="s">
        <v>55</v>
      </c>
      <c r="C20" s="104"/>
      <c r="D20" s="104"/>
      <c r="E20" s="104"/>
      <c r="F20" s="13"/>
      <c r="G20" s="107"/>
    </row>
    <row r="21" spans="1:7" ht="16.5" x14ac:dyDescent="0.25">
      <c r="A21" s="107"/>
      <c r="B21" s="13" t="s">
        <v>57</v>
      </c>
      <c r="C21" s="104"/>
      <c r="D21" s="104"/>
      <c r="E21" s="104"/>
      <c r="F21" s="13" t="s">
        <v>56</v>
      </c>
      <c r="G21" s="107"/>
    </row>
    <row r="22" spans="1:7" ht="17.25" thickBot="1" x14ac:dyDescent="0.3">
      <c r="A22" s="107"/>
      <c r="B22" s="16" t="s">
        <v>417</v>
      </c>
      <c r="C22" s="111"/>
      <c r="D22" s="111"/>
      <c r="E22" s="111"/>
      <c r="F22" s="52" t="s">
        <v>418</v>
      </c>
      <c r="G22" s="112"/>
    </row>
    <row r="23" spans="1:7" ht="16.5" x14ac:dyDescent="0.25">
      <c r="A23" s="107"/>
      <c r="B23" s="8" t="s">
        <v>321</v>
      </c>
      <c r="C23" s="109">
        <v>1</v>
      </c>
      <c r="D23" s="109">
        <v>3</v>
      </c>
      <c r="E23" s="109">
        <v>3</v>
      </c>
      <c r="F23" s="13" t="s">
        <v>148</v>
      </c>
      <c r="G23" s="110" t="s">
        <v>47</v>
      </c>
    </row>
    <row r="24" spans="1:7" ht="16.5" x14ac:dyDescent="0.25">
      <c r="A24" s="107"/>
      <c r="B24" s="13" t="s">
        <v>419</v>
      </c>
      <c r="C24" s="104"/>
      <c r="D24" s="104"/>
      <c r="E24" s="104"/>
      <c r="F24" s="13" t="s">
        <v>421</v>
      </c>
      <c r="G24" s="107"/>
    </row>
    <row r="25" spans="1:7" ht="17.25" thickBot="1" x14ac:dyDescent="0.3">
      <c r="A25" s="112"/>
      <c r="B25" s="16" t="s">
        <v>420</v>
      </c>
      <c r="C25" s="111"/>
      <c r="D25" s="111"/>
      <c r="E25" s="111"/>
      <c r="F25" s="17"/>
      <c r="G25" s="112"/>
    </row>
    <row r="26" spans="1:7" ht="16.5" x14ac:dyDescent="0.25">
      <c r="A26" s="110" t="s">
        <v>81</v>
      </c>
      <c r="B26" s="8" t="s">
        <v>150</v>
      </c>
      <c r="C26" s="109">
        <v>4</v>
      </c>
      <c r="D26" s="109">
        <v>3</v>
      </c>
      <c r="E26" s="109">
        <v>12</v>
      </c>
      <c r="F26" s="13" t="s">
        <v>423</v>
      </c>
      <c r="G26" s="110" t="s">
        <v>425</v>
      </c>
    </row>
    <row r="27" spans="1:7" ht="16.5" x14ac:dyDescent="0.25">
      <c r="A27" s="107"/>
      <c r="B27" s="8" t="s">
        <v>151</v>
      </c>
      <c r="C27" s="104"/>
      <c r="D27" s="104"/>
      <c r="E27" s="104"/>
      <c r="F27" s="13" t="s">
        <v>154</v>
      </c>
      <c r="G27" s="107"/>
    </row>
    <row r="28" spans="1:7" ht="17.25" thickBot="1" x14ac:dyDescent="0.3">
      <c r="A28" s="107"/>
      <c r="B28" s="52" t="s">
        <v>422</v>
      </c>
      <c r="C28" s="111"/>
      <c r="D28" s="111"/>
      <c r="E28" s="111"/>
      <c r="F28" s="16" t="s">
        <v>424</v>
      </c>
      <c r="G28" s="108"/>
    </row>
    <row r="29" spans="1:7" ht="16.5" x14ac:dyDescent="0.25">
      <c r="A29" s="107"/>
      <c r="B29" s="8" t="s">
        <v>426</v>
      </c>
      <c r="C29" s="109">
        <v>1</v>
      </c>
      <c r="D29" s="109">
        <v>4</v>
      </c>
      <c r="E29" s="109">
        <v>4</v>
      </c>
      <c r="F29" s="116" t="s">
        <v>428</v>
      </c>
      <c r="G29" s="106" t="s">
        <v>17</v>
      </c>
    </row>
    <row r="30" spans="1:7" ht="17.25" thickBot="1" x14ac:dyDescent="0.3">
      <c r="A30" s="107"/>
      <c r="B30" s="16" t="s">
        <v>427</v>
      </c>
      <c r="C30" s="111"/>
      <c r="D30" s="111"/>
      <c r="E30" s="111"/>
      <c r="F30" s="119"/>
      <c r="G30" s="108"/>
    </row>
    <row r="31" spans="1:7" ht="16.5" x14ac:dyDescent="0.25">
      <c r="A31" s="107"/>
      <c r="B31" s="8" t="s">
        <v>429</v>
      </c>
      <c r="C31" s="109">
        <v>1</v>
      </c>
      <c r="D31" s="109">
        <v>4</v>
      </c>
      <c r="E31" s="109">
        <v>4</v>
      </c>
      <c r="F31" s="116" t="s">
        <v>431</v>
      </c>
      <c r="G31" s="106" t="s">
        <v>47</v>
      </c>
    </row>
    <row r="32" spans="1:7" ht="17.25" thickBot="1" x14ac:dyDescent="0.3">
      <c r="A32" s="107"/>
      <c r="B32" s="16" t="s">
        <v>430</v>
      </c>
      <c r="C32" s="111"/>
      <c r="D32" s="111"/>
      <c r="E32" s="111"/>
      <c r="F32" s="119"/>
      <c r="G32" s="108"/>
    </row>
    <row r="33" spans="1:7" ht="16.5" x14ac:dyDescent="0.25">
      <c r="A33" s="107"/>
      <c r="B33" s="8" t="s">
        <v>432</v>
      </c>
      <c r="C33" s="109">
        <v>1</v>
      </c>
      <c r="D33" s="109">
        <v>4</v>
      </c>
      <c r="E33" s="109">
        <v>4</v>
      </c>
      <c r="F33" s="19" t="s">
        <v>77</v>
      </c>
      <c r="G33" s="106" t="s">
        <v>47</v>
      </c>
    </row>
    <row r="34" spans="1:7" ht="16.5" x14ac:dyDescent="0.25">
      <c r="A34" s="107"/>
      <c r="B34" s="13" t="s">
        <v>433</v>
      </c>
      <c r="C34" s="104"/>
      <c r="D34" s="104"/>
      <c r="E34" s="104"/>
      <c r="F34" s="19" t="s">
        <v>434</v>
      </c>
      <c r="G34" s="107"/>
    </row>
    <row r="35" spans="1:7" ht="17.25" thickBot="1" x14ac:dyDescent="0.3">
      <c r="A35" s="108"/>
      <c r="B35" s="16" t="s">
        <v>80</v>
      </c>
      <c r="C35" s="111"/>
      <c r="D35" s="111"/>
      <c r="E35" s="111"/>
      <c r="F35" s="17"/>
      <c r="G35" s="108"/>
    </row>
    <row r="36" spans="1:7" ht="16.5" x14ac:dyDescent="0.25">
      <c r="A36" s="106" t="s">
        <v>173</v>
      </c>
      <c r="B36" s="8" t="s">
        <v>174</v>
      </c>
      <c r="C36" s="109">
        <v>1</v>
      </c>
      <c r="D36" s="109">
        <v>4</v>
      </c>
      <c r="E36" s="109">
        <v>4</v>
      </c>
      <c r="F36" s="13" t="s">
        <v>437</v>
      </c>
      <c r="G36" s="106" t="s">
        <v>47</v>
      </c>
    </row>
    <row r="37" spans="1:7" ht="16.5" x14ac:dyDescent="0.25">
      <c r="A37" s="107"/>
      <c r="B37" s="8" t="s">
        <v>84</v>
      </c>
      <c r="C37" s="104"/>
      <c r="D37" s="104"/>
      <c r="E37" s="104"/>
      <c r="F37" s="13" t="s">
        <v>85</v>
      </c>
      <c r="G37" s="107"/>
    </row>
    <row r="38" spans="1:7" ht="16.5" x14ac:dyDescent="0.25">
      <c r="A38" s="107"/>
      <c r="B38" s="13" t="s">
        <v>435</v>
      </c>
      <c r="C38" s="104"/>
      <c r="D38" s="104"/>
      <c r="E38" s="104"/>
      <c r="F38" s="14"/>
      <c r="G38" s="107"/>
    </row>
    <row r="39" spans="1:7" ht="17.25" thickBot="1" x14ac:dyDescent="0.3">
      <c r="A39" s="107"/>
      <c r="B39" s="16" t="s">
        <v>436</v>
      </c>
      <c r="C39" s="111"/>
      <c r="D39" s="111"/>
      <c r="E39" s="111"/>
      <c r="F39" s="17"/>
      <c r="G39" s="108"/>
    </row>
    <row r="40" spans="1:7" ht="16.5" x14ac:dyDescent="0.25">
      <c r="A40" s="107"/>
      <c r="B40" s="8" t="s">
        <v>88</v>
      </c>
      <c r="C40" s="109">
        <v>2</v>
      </c>
      <c r="D40" s="109">
        <v>4</v>
      </c>
      <c r="E40" s="109">
        <v>8</v>
      </c>
      <c r="F40" s="13" t="s">
        <v>439</v>
      </c>
      <c r="G40" s="106" t="s">
        <v>47</v>
      </c>
    </row>
    <row r="41" spans="1:7" ht="16.5" x14ac:dyDescent="0.25">
      <c r="A41" s="107"/>
      <c r="B41" s="13" t="s">
        <v>438</v>
      </c>
      <c r="C41" s="104"/>
      <c r="D41" s="104"/>
      <c r="E41" s="104"/>
      <c r="F41" s="13" t="s">
        <v>91</v>
      </c>
      <c r="G41" s="107"/>
    </row>
    <row r="42" spans="1:7" ht="17.25" thickBot="1" x14ac:dyDescent="0.3">
      <c r="A42" s="107"/>
      <c r="B42" s="16" t="s">
        <v>92</v>
      </c>
      <c r="C42" s="111"/>
      <c r="D42" s="111"/>
      <c r="E42" s="111"/>
      <c r="F42" s="17"/>
      <c r="G42" s="108"/>
    </row>
    <row r="43" spans="1:7" ht="16.5" x14ac:dyDescent="0.25">
      <c r="A43" s="107"/>
      <c r="B43" s="8" t="s">
        <v>93</v>
      </c>
      <c r="C43" s="109">
        <v>1</v>
      </c>
      <c r="D43" s="109">
        <v>4</v>
      </c>
      <c r="E43" s="109">
        <v>4</v>
      </c>
      <c r="F43" s="13" t="s">
        <v>442</v>
      </c>
      <c r="G43" s="106" t="s">
        <v>183</v>
      </c>
    </row>
    <row r="44" spans="1:7" ht="16.5" x14ac:dyDescent="0.25">
      <c r="A44" s="107"/>
      <c r="B44" s="13" t="s">
        <v>440</v>
      </c>
      <c r="C44" s="104"/>
      <c r="D44" s="104"/>
      <c r="E44" s="104"/>
      <c r="F44" s="13" t="s">
        <v>97</v>
      </c>
      <c r="G44" s="107"/>
    </row>
    <row r="45" spans="1:7" ht="17.25" thickBot="1" x14ac:dyDescent="0.3">
      <c r="A45" s="108"/>
      <c r="B45" s="16" t="s">
        <v>441</v>
      </c>
      <c r="C45" s="111"/>
      <c r="D45" s="111"/>
      <c r="E45" s="111"/>
      <c r="F45" s="17"/>
      <c r="G45" s="108"/>
    </row>
    <row r="46" spans="1:7" ht="16.5" x14ac:dyDescent="0.25">
      <c r="A46" s="113"/>
      <c r="B46" s="8" t="s">
        <v>185</v>
      </c>
      <c r="C46" s="109">
        <v>1</v>
      </c>
      <c r="D46" s="109">
        <v>5</v>
      </c>
      <c r="E46" s="109">
        <v>5</v>
      </c>
      <c r="F46" s="19" t="s">
        <v>101</v>
      </c>
      <c r="G46" s="106" t="s">
        <v>102</v>
      </c>
    </row>
    <row r="47" spans="1:7" ht="16.5" x14ac:dyDescent="0.25">
      <c r="A47" s="114"/>
      <c r="B47" s="19" t="s">
        <v>103</v>
      </c>
      <c r="C47" s="104"/>
      <c r="D47" s="104"/>
      <c r="E47" s="104"/>
      <c r="F47" s="19" t="s">
        <v>104</v>
      </c>
      <c r="G47" s="107"/>
    </row>
    <row r="48" spans="1:7" ht="16.5" x14ac:dyDescent="0.25">
      <c r="A48" s="114"/>
      <c r="B48" s="19" t="s">
        <v>105</v>
      </c>
      <c r="C48" s="104"/>
      <c r="D48" s="104"/>
      <c r="E48" s="104"/>
      <c r="F48" s="19" t="s">
        <v>106</v>
      </c>
      <c r="G48" s="107"/>
    </row>
    <row r="49" spans="1:7" ht="16.5" x14ac:dyDescent="0.25">
      <c r="A49" s="114"/>
      <c r="B49" s="19" t="s">
        <v>107</v>
      </c>
      <c r="C49" s="104"/>
      <c r="D49" s="104"/>
      <c r="E49" s="104"/>
      <c r="F49" s="19" t="s">
        <v>108</v>
      </c>
      <c r="G49" s="107"/>
    </row>
    <row r="50" spans="1:7" ht="16.5" x14ac:dyDescent="0.25">
      <c r="A50" s="114"/>
      <c r="B50" s="19" t="s">
        <v>109</v>
      </c>
      <c r="C50" s="104"/>
      <c r="D50" s="104"/>
      <c r="E50" s="104"/>
      <c r="F50" s="19" t="s">
        <v>110</v>
      </c>
      <c r="G50" s="107"/>
    </row>
    <row r="51" spans="1:7" ht="16.5" x14ac:dyDescent="0.25">
      <c r="A51" s="114"/>
      <c r="B51" s="19" t="s">
        <v>111</v>
      </c>
      <c r="C51" s="104"/>
      <c r="D51" s="104"/>
      <c r="E51" s="104"/>
      <c r="F51" s="19" t="s">
        <v>112</v>
      </c>
      <c r="G51" s="107"/>
    </row>
    <row r="52" spans="1:7" ht="16.5" x14ac:dyDescent="0.25">
      <c r="A52" s="114"/>
      <c r="B52" s="19" t="s">
        <v>113</v>
      </c>
      <c r="C52" s="104"/>
      <c r="D52" s="104"/>
      <c r="E52" s="104"/>
      <c r="F52" s="19" t="s">
        <v>114</v>
      </c>
      <c r="G52" s="107"/>
    </row>
    <row r="53" spans="1:7" ht="16.5" x14ac:dyDescent="0.25">
      <c r="A53" s="114"/>
      <c r="B53" s="19" t="s">
        <v>115</v>
      </c>
      <c r="C53" s="104"/>
      <c r="D53" s="104"/>
      <c r="E53" s="104"/>
      <c r="F53" s="19" t="s">
        <v>116</v>
      </c>
      <c r="G53" s="107"/>
    </row>
    <row r="54" spans="1:7" ht="16.5" x14ac:dyDescent="0.25">
      <c r="A54" s="114"/>
      <c r="B54" s="19" t="s">
        <v>117</v>
      </c>
      <c r="C54" s="104"/>
      <c r="D54" s="104"/>
      <c r="E54" s="104"/>
      <c r="F54" s="19" t="s">
        <v>118</v>
      </c>
      <c r="G54" s="107"/>
    </row>
    <row r="55" spans="1:7" ht="16.5" x14ac:dyDescent="0.25">
      <c r="A55" s="114"/>
      <c r="B55" s="19" t="s">
        <v>119</v>
      </c>
      <c r="C55" s="104"/>
      <c r="D55" s="104"/>
      <c r="E55" s="104"/>
      <c r="F55" s="19" t="s">
        <v>120</v>
      </c>
      <c r="G55" s="107"/>
    </row>
    <row r="56" spans="1:7" ht="17.25" thickBot="1" x14ac:dyDescent="0.3">
      <c r="A56" s="115"/>
      <c r="B56" s="17"/>
      <c r="C56" s="111"/>
      <c r="D56" s="111"/>
      <c r="E56" s="111"/>
      <c r="F56" s="55"/>
      <c r="G56" s="108"/>
    </row>
    <row r="57" spans="1:7" ht="17.25" thickBot="1" x14ac:dyDescent="0.3">
      <c r="A57" s="18"/>
      <c r="B57" s="163" t="s">
        <v>121</v>
      </c>
      <c r="C57" s="164"/>
      <c r="D57" s="165"/>
      <c r="E57" s="60">
        <v>78</v>
      </c>
      <c r="F57" s="55"/>
      <c r="G57" s="55"/>
    </row>
  </sheetData>
  <mergeCells count="71">
    <mergeCell ref="A46:A56"/>
    <mergeCell ref="C46:C56"/>
    <mergeCell ref="D46:D56"/>
    <mergeCell ref="E46:E56"/>
    <mergeCell ref="G46:G56"/>
    <mergeCell ref="B57:D57"/>
    <mergeCell ref="D40:D42"/>
    <mergeCell ref="E40:E42"/>
    <mergeCell ref="G40:G42"/>
    <mergeCell ref="C43:C45"/>
    <mergeCell ref="D43:D45"/>
    <mergeCell ref="E43:E45"/>
    <mergeCell ref="G43:G45"/>
    <mergeCell ref="A36:A45"/>
    <mergeCell ref="C36:C39"/>
    <mergeCell ref="D36:D39"/>
    <mergeCell ref="E36:E39"/>
    <mergeCell ref="G36:G39"/>
    <mergeCell ref="C40:C42"/>
    <mergeCell ref="A11:A25"/>
    <mergeCell ref="D29:D30"/>
    <mergeCell ref="E29:E30"/>
    <mergeCell ref="F29:F30"/>
    <mergeCell ref="G29:G30"/>
    <mergeCell ref="A26:A35"/>
    <mergeCell ref="C26:C28"/>
    <mergeCell ref="D26:D28"/>
    <mergeCell ref="E26:E28"/>
    <mergeCell ref="G26:G28"/>
    <mergeCell ref="C29:C30"/>
    <mergeCell ref="C31:C32"/>
    <mergeCell ref="D31:D32"/>
    <mergeCell ref="E31:E32"/>
    <mergeCell ref="F31:F32"/>
    <mergeCell ref="G31:G32"/>
    <mergeCell ref="C33:C35"/>
    <mergeCell ref="D33:D35"/>
    <mergeCell ref="E33:E35"/>
    <mergeCell ref="G33:G35"/>
    <mergeCell ref="E16:E18"/>
    <mergeCell ref="G16:G18"/>
    <mergeCell ref="C23:C25"/>
    <mergeCell ref="D23:D25"/>
    <mergeCell ref="E23:E25"/>
    <mergeCell ref="G23:G25"/>
    <mergeCell ref="C19:C22"/>
    <mergeCell ref="D19:D22"/>
    <mergeCell ref="E19:E22"/>
    <mergeCell ref="G19:G22"/>
    <mergeCell ref="G8:G10"/>
    <mergeCell ref="C11:C13"/>
    <mergeCell ref="D11:D13"/>
    <mergeCell ref="E11:E13"/>
    <mergeCell ref="G11:G13"/>
    <mergeCell ref="C14:C15"/>
    <mergeCell ref="D14:D15"/>
    <mergeCell ref="E14:E15"/>
    <mergeCell ref="F14:F15"/>
    <mergeCell ref="G14:G15"/>
    <mergeCell ref="C16:C18"/>
    <mergeCell ref="D16:D18"/>
    <mergeCell ref="B1:B3"/>
    <mergeCell ref="G1:G3"/>
    <mergeCell ref="A4:A10"/>
    <mergeCell ref="C4:C7"/>
    <mergeCell ref="D4:D7"/>
    <mergeCell ref="E4:E7"/>
    <mergeCell ref="G4:G7"/>
    <mergeCell ref="C8:C10"/>
    <mergeCell ref="D8:D10"/>
    <mergeCell ref="E8:E10"/>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C5A796-DD70-4A0F-9CAA-FD265D978D02}">
  <dimension ref="A1:G59"/>
  <sheetViews>
    <sheetView topLeftCell="A24" zoomScale="70" zoomScaleNormal="70" workbookViewId="0">
      <selection activeCell="E39" sqref="E39:E58"/>
    </sheetView>
  </sheetViews>
  <sheetFormatPr defaultRowHeight="15" x14ac:dyDescent="0.25"/>
  <cols>
    <col min="1" max="1" width="6.85546875" bestFit="1" customWidth="1"/>
    <col min="2" max="2" width="175.28515625" bestFit="1" customWidth="1"/>
    <col min="3" max="3" width="12.7109375" bestFit="1" customWidth="1"/>
    <col min="4" max="4" width="10.140625" bestFit="1" customWidth="1"/>
    <col min="5" max="5" width="8.42578125" bestFit="1" customWidth="1"/>
    <col min="6" max="6" width="209.85546875" bestFit="1" customWidth="1"/>
    <col min="7" max="7" width="109.85546875" bestFit="1" customWidth="1"/>
  </cols>
  <sheetData>
    <row r="1" spans="1:7" ht="16.5" x14ac:dyDescent="0.25">
      <c r="A1" s="35" t="s">
        <v>0</v>
      </c>
      <c r="B1" s="146" t="s">
        <v>1</v>
      </c>
      <c r="C1" s="36" t="s">
        <v>2</v>
      </c>
      <c r="D1" s="36" t="s">
        <v>3</v>
      </c>
      <c r="E1" s="36" t="s">
        <v>0</v>
      </c>
      <c r="F1" s="36" t="s">
        <v>4</v>
      </c>
      <c r="G1" s="36" t="s">
        <v>5</v>
      </c>
    </row>
    <row r="2" spans="1:7" ht="16.5" x14ac:dyDescent="0.25">
      <c r="A2" s="37" t="s">
        <v>6</v>
      </c>
      <c r="B2" s="147"/>
      <c r="C2" s="38" t="s">
        <v>7</v>
      </c>
      <c r="D2" s="38" t="s">
        <v>8</v>
      </c>
      <c r="E2" s="38" t="s">
        <v>9</v>
      </c>
      <c r="F2" s="38" t="s">
        <v>10</v>
      </c>
      <c r="G2" s="38" t="s">
        <v>11</v>
      </c>
    </row>
    <row r="3" spans="1:7" ht="17.25" thickBot="1" x14ac:dyDescent="0.3">
      <c r="A3" s="39"/>
      <c r="B3" s="148"/>
      <c r="C3" s="40" t="s">
        <v>12</v>
      </c>
      <c r="D3" s="40" t="s">
        <v>12</v>
      </c>
      <c r="E3" s="40" t="s">
        <v>13</v>
      </c>
      <c r="F3" s="41"/>
      <c r="G3" s="41"/>
    </row>
    <row r="4" spans="1:7" ht="21" x14ac:dyDescent="0.25">
      <c r="A4" s="106" t="s">
        <v>14</v>
      </c>
      <c r="B4" s="8" t="s">
        <v>15</v>
      </c>
      <c r="C4" s="103">
        <v>1</v>
      </c>
      <c r="D4" s="103">
        <v>3</v>
      </c>
      <c r="E4" s="103">
        <v>3</v>
      </c>
      <c r="F4" s="9" t="s">
        <v>496</v>
      </c>
      <c r="G4" s="106" t="s">
        <v>17</v>
      </c>
    </row>
    <row r="5" spans="1:7" ht="21" x14ac:dyDescent="0.25">
      <c r="A5" s="107"/>
      <c r="B5" s="11" t="s">
        <v>18</v>
      </c>
      <c r="C5" s="104"/>
      <c r="D5" s="104"/>
      <c r="E5" s="104"/>
      <c r="F5" s="9" t="s">
        <v>125</v>
      </c>
      <c r="G5" s="107"/>
    </row>
    <row r="6" spans="1:7" ht="21" x14ac:dyDescent="0.25">
      <c r="A6" s="107"/>
      <c r="B6" s="13" t="s">
        <v>495</v>
      </c>
      <c r="C6" s="104"/>
      <c r="D6" s="104"/>
      <c r="E6" s="104"/>
      <c r="F6" s="9" t="s">
        <v>497</v>
      </c>
      <c r="G6" s="107"/>
    </row>
    <row r="7" spans="1:7" ht="17.25" thickBot="1" x14ac:dyDescent="0.3">
      <c r="A7" s="107"/>
      <c r="B7" s="20"/>
      <c r="C7" s="111"/>
      <c r="D7" s="111"/>
      <c r="E7" s="111"/>
      <c r="F7" s="17"/>
      <c r="G7" s="112"/>
    </row>
    <row r="8" spans="1:7" ht="16.5" x14ac:dyDescent="0.25">
      <c r="A8" s="107"/>
      <c r="B8" s="11" t="s">
        <v>498</v>
      </c>
      <c r="C8" s="109">
        <v>1</v>
      </c>
      <c r="D8" s="109">
        <v>3</v>
      </c>
      <c r="E8" s="109">
        <v>3</v>
      </c>
      <c r="F8" s="13" t="s">
        <v>500</v>
      </c>
      <c r="G8" s="110" t="s">
        <v>17</v>
      </c>
    </row>
    <row r="9" spans="1:7" ht="16.5" x14ac:dyDescent="0.25">
      <c r="A9" s="107"/>
      <c r="B9" s="13" t="s">
        <v>499</v>
      </c>
      <c r="C9" s="104"/>
      <c r="D9" s="104"/>
      <c r="E9" s="104"/>
      <c r="F9" s="13" t="s">
        <v>501</v>
      </c>
      <c r="G9" s="107"/>
    </row>
    <row r="10" spans="1:7" ht="16.5" x14ac:dyDescent="0.25">
      <c r="A10" s="107"/>
      <c r="B10" s="15"/>
      <c r="C10" s="104"/>
      <c r="D10" s="104"/>
      <c r="E10" s="104"/>
      <c r="F10" s="13" t="s">
        <v>502</v>
      </c>
      <c r="G10" s="107"/>
    </row>
    <row r="11" spans="1:7" ht="17.25" thickBot="1" x14ac:dyDescent="0.3">
      <c r="A11" s="108"/>
      <c r="B11" s="17"/>
      <c r="C11" s="111"/>
      <c r="D11" s="111"/>
      <c r="E11" s="111"/>
      <c r="F11" s="16" t="s">
        <v>503</v>
      </c>
      <c r="G11" s="112"/>
    </row>
    <row r="12" spans="1:7" ht="16.5" x14ac:dyDescent="0.25">
      <c r="A12" s="106" t="s">
        <v>34</v>
      </c>
      <c r="B12" s="8" t="s">
        <v>35</v>
      </c>
      <c r="C12" s="109">
        <v>2</v>
      </c>
      <c r="D12" s="109">
        <v>3</v>
      </c>
      <c r="E12" s="109">
        <v>6</v>
      </c>
      <c r="F12" s="19" t="s">
        <v>130</v>
      </c>
      <c r="G12" s="110" t="s">
        <v>17</v>
      </c>
    </row>
    <row r="13" spans="1:7" ht="21" x14ac:dyDescent="0.25">
      <c r="A13" s="107"/>
      <c r="B13" s="8" t="s">
        <v>37</v>
      </c>
      <c r="C13" s="104"/>
      <c r="D13" s="104"/>
      <c r="E13" s="104"/>
      <c r="F13" s="9" t="s">
        <v>505</v>
      </c>
      <c r="G13" s="107"/>
    </row>
    <row r="14" spans="1:7" ht="17.25" thickBot="1" x14ac:dyDescent="0.3">
      <c r="A14" s="107"/>
      <c r="B14" s="52" t="s">
        <v>504</v>
      </c>
      <c r="C14" s="111"/>
      <c r="D14" s="111"/>
      <c r="E14" s="111"/>
      <c r="F14" s="17"/>
      <c r="G14" s="112"/>
    </row>
    <row r="15" spans="1:7" ht="16.5" x14ac:dyDescent="0.25">
      <c r="A15" s="107"/>
      <c r="B15" s="8" t="s">
        <v>40</v>
      </c>
      <c r="C15" s="109">
        <v>1</v>
      </c>
      <c r="D15" s="109">
        <v>4</v>
      </c>
      <c r="E15" s="109">
        <v>4</v>
      </c>
      <c r="F15" s="128" t="s">
        <v>414</v>
      </c>
      <c r="G15" s="110" t="s">
        <v>17</v>
      </c>
    </row>
    <row r="16" spans="1:7" ht="17.25" thickBot="1" x14ac:dyDescent="0.3">
      <c r="A16" s="107"/>
      <c r="B16" s="16" t="s">
        <v>267</v>
      </c>
      <c r="C16" s="111"/>
      <c r="D16" s="111"/>
      <c r="E16" s="111"/>
      <c r="F16" s="129"/>
      <c r="G16" s="112"/>
    </row>
    <row r="17" spans="1:7" ht="16.5" x14ac:dyDescent="0.25">
      <c r="A17" s="107"/>
      <c r="B17" s="8" t="s">
        <v>133</v>
      </c>
      <c r="C17" s="109">
        <v>1</v>
      </c>
      <c r="D17" s="109">
        <v>3</v>
      </c>
      <c r="E17" s="109">
        <v>3</v>
      </c>
      <c r="F17" s="19" t="s">
        <v>506</v>
      </c>
      <c r="G17" s="110" t="s">
        <v>17</v>
      </c>
    </row>
    <row r="18" spans="1:7" ht="17.25" thickBot="1" x14ac:dyDescent="0.3">
      <c r="A18" s="107"/>
      <c r="B18" s="16" t="s">
        <v>134</v>
      </c>
      <c r="C18" s="111"/>
      <c r="D18" s="111"/>
      <c r="E18" s="111"/>
      <c r="F18" s="52" t="s">
        <v>507</v>
      </c>
      <c r="G18" s="112"/>
    </row>
    <row r="19" spans="1:7" ht="16.5" x14ac:dyDescent="0.25">
      <c r="A19" s="107"/>
      <c r="B19" s="8" t="s">
        <v>137</v>
      </c>
      <c r="C19" s="109">
        <v>1</v>
      </c>
      <c r="D19" s="109">
        <v>4</v>
      </c>
      <c r="E19" s="109">
        <v>4</v>
      </c>
      <c r="F19" s="13" t="s">
        <v>54</v>
      </c>
      <c r="G19" s="110" t="s">
        <v>47</v>
      </c>
    </row>
    <row r="20" spans="1:7" ht="16.5" x14ac:dyDescent="0.25">
      <c r="A20" s="107"/>
      <c r="B20" s="13" t="s">
        <v>55</v>
      </c>
      <c r="C20" s="104"/>
      <c r="D20" s="104"/>
      <c r="E20" s="104"/>
      <c r="F20" s="13" t="s">
        <v>56</v>
      </c>
      <c r="G20" s="107"/>
    </row>
    <row r="21" spans="1:7" ht="16.5" x14ac:dyDescent="0.25">
      <c r="A21" s="107"/>
      <c r="B21" s="13" t="s">
        <v>57</v>
      </c>
      <c r="C21" s="104"/>
      <c r="D21" s="104"/>
      <c r="E21" s="104"/>
      <c r="F21" s="19" t="s">
        <v>418</v>
      </c>
      <c r="G21" s="107"/>
    </row>
    <row r="22" spans="1:7" ht="17.25" thickBot="1" x14ac:dyDescent="0.3">
      <c r="A22" s="107"/>
      <c r="B22" s="16" t="s">
        <v>508</v>
      </c>
      <c r="C22" s="111"/>
      <c r="D22" s="111"/>
      <c r="E22" s="111"/>
      <c r="F22" s="17"/>
      <c r="G22" s="112"/>
    </row>
    <row r="23" spans="1:7" ht="16.5" x14ac:dyDescent="0.25">
      <c r="A23" s="107"/>
      <c r="B23" s="8" t="s">
        <v>509</v>
      </c>
      <c r="C23" s="109">
        <v>3</v>
      </c>
      <c r="D23" s="109">
        <v>5</v>
      </c>
      <c r="E23" s="109">
        <v>15</v>
      </c>
      <c r="F23" s="13" t="s">
        <v>512</v>
      </c>
      <c r="G23" s="23" t="s">
        <v>17</v>
      </c>
    </row>
    <row r="24" spans="1:7" ht="16.5" x14ac:dyDescent="0.25">
      <c r="A24" s="107"/>
      <c r="B24" s="13" t="s">
        <v>510</v>
      </c>
      <c r="C24" s="104"/>
      <c r="D24" s="104"/>
      <c r="E24" s="104"/>
      <c r="F24" s="13" t="s">
        <v>513</v>
      </c>
      <c r="G24" s="23" t="s">
        <v>47</v>
      </c>
    </row>
    <row r="25" spans="1:7" ht="17.25" thickBot="1" x14ac:dyDescent="0.3">
      <c r="A25" s="107"/>
      <c r="B25" s="28" t="s">
        <v>511</v>
      </c>
      <c r="C25" s="105"/>
      <c r="D25" s="105"/>
      <c r="E25" s="105"/>
      <c r="F25" s="28" t="s">
        <v>514</v>
      </c>
      <c r="G25" s="25"/>
    </row>
    <row r="26" spans="1:7" ht="16.5" x14ac:dyDescent="0.25">
      <c r="A26" s="107"/>
      <c r="B26" s="8" t="s">
        <v>515</v>
      </c>
      <c r="C26" s="103">
        <v>1</v>
      </c>
      <c r="D26" s="103">
        <v>3</v>
      </c>
      <c r="E26" s="103">
        <v>3</v>
      </c>
      <c r="F26" s="13" t="s">
        <v>148</v>
      </c>
      <c r="G26" s="106" t="s">
        <v>47</v>
      </c>
    </row>
    <row r="27" spans="1:7" ht="16.5" x14ac:dyDescent="0.25">
      <c r="A27" s="107"/>
      <c r="B27" s="13" t="s">
        <v>516</v>
      </c>
      <c r="C27" s="104"/>
      <c r="D27" s="104"/>
      <c r="E27" s="104"/>
      <c r="F27" s="13" t="s">
        <v>518</v>
      </c>
      <c r="G27" s="107"/>
    </row>
    <row r="28" spans="1:7" ht="17.25" thickBot="1" x14ac:dyDescent="0.3">
      <c r="A28" s="108"/>
      <c r="B28" s="28" t="s">
        <v>517</v>
      </c>
      <c r="C28" s="105"/>
      <c r="D28" s="105"/>
      <c r="E28" s="105"/>
      <c r="F28" s="25"/>
      <c r="G28" s="108"/>
    </row>
    <row r="29" spans="1:7" ht="16.5" x14ac:dyDescent="0.25">
      <c r="A29" s="106" t="s">
        <v>81</v>
      </c>
      <c r="B29" s="8" t="s">
        <v>150</v>
      </c>
      <c r="C29" s="103">
        <v>2</v>
      </c>
      <c r="D29" s="103">
        <v>3</v>
      </c>
      <c r="E29" s="103">
        <v>6</v>
      </c>
      <c r="F29" s="13" t="s">
        <v>521</v>
      </c>
      <c r="G29" s="106" t="s">
        <v>524</v>
      </c>
    </row>
    <row r="30" spans="1:7" ht="16.5" x14ac:dyDescent="0.25">
      <c r="A30" s="107"/>
      <c r="B30" s="8" t="s">
        <v>325</v>
      </c>
      <c r="C30" s="104"/>
      <c r="D30" s="104"/>
      <c r="E30" s="104"/>
      <c r="F30" s="13" t="s">
        <v>154</v>
      </c>
      <c r="G30" s="107"/>
    </row>
    <row r="31" spans="1:7" ht="16.5" x14ac:dyDescent="0.25">
      <c r="A31" s="107"/>
      <c r="B31" s="13" t="s">
        <v>519</v>
      </c>
      <c r="C31" s="104"/>
      <c r="D31" s="104"/>
      <c r="E31" s="104"/>
      <c r="F31" s="13" t="s">
        <v>522</v>
      </c>
      <c r="G31" s="107"/>
    </row>
    <row r="32" spans="1:7" ht="17.25" thickBot="1" x14ac:dyDescent="0.3">
      <c r="A32" s="107"/>
      <c r="B32" s="16" t="s">
        <v>520</v>
      </c>
      <c r="C32" s="111"/>
      <c r="D32" s="111"/>
      <c r="E32" s="111"/>
      <c r="F32" s="16" t="s">
        <v>523</v>
      </c>
      <c r="G32" s="112"/>
    </row>
    <row r="33" spans="1:7" ht="16.5" x14ac:dyDescent="0.25">
      <c r="A33" s="107"/>
      <c r="B33" s="8" t="s">
        <v>282</v>
      </c>
      <c r="C33" s="109">
        <v>2</v>
      </c>
      <c r="D33" s="109">
        <v>5</v>
      </c>
      <c r="E33" s="109">
        <v>10</v>
      </c>
      <c r="F33" s="13" t="s">
        <v>527</v>
      </c>
      <c r="G33" s="110" t="s">
        <v>17</v>
      </c>
    </row>
    <row r="34" spans="1:7" ht="16.5" x14ac:dyDescent="0.25">
      <c r="A34" s="107"/>
      <c r="B34" s="13" t="s">
        <v>525</v>
      </c>
      <c r="C34" s="104"/>
      <c r="D34" s="104"/>
      <c r="E34" s="104"/>
      <c r="F34" s="13" t="s">
        <v>528</v>
      </c>
      <c r="G34" s="107"/>
    </row>
    <row r="35" spans="1:7" ht="17.25" thickBot="1" x14ac:dyDescent="0.3">
      <c r="A35" s="107"/>
      <c r="B35" s="16" t="s">
        <v>526</v>
      </c>
      <c r="C35" s="111"/>
      <c r="D35" s="111"/>
      <c r="E35" s="111"/>
      <c r="F35" s="17"/>
      <c r="G35" s="112"/>
    </row>
    <row r="36" spans="1:7" ht="16.5" x14ac:dyDescent="0.25">
      <c r="A36" s="107"/>
      <c r="B36" s="8" t="s">
        <v>76</v>
      </c>
      <c r="C36" s="109">
        <v>2</v>
      </c>
      <c r="D36" s="109">
        <v>5</v>
      </c>
      <c r="E36" s="109">
        <v>10</v>
      </c>
      <c r="F36" s="19" t="s">
        <v>531</v>
      </c>
      <c r="G36" s="110" t="s">
        <v>47</v>
      </c>
    </row>
    <row r="37" spans="1:7" ht="16.5" x14ac:dyDescent="0.25">
      <c r="A37" s="107"/>
      <c r="B37" s="13" t="s">
        <v>529</v>
      </c>
      <c r="C37" s="104"/>
      <c r="D37" s="104"/>
      <c r="E37" s="104"/>
      <c r="F37" s="19" t="s">
        <v>532</v>
      </c>
      <c r="G37" s="107"/>
    </row>
    <row r="38" spans="1:7" ht="17.25" thickBot="1" x14ac:dyDescent="0.3">
      <c r="A38" s="108"/>
      <c r="B38" s="16" t="s">
        <v>530</v>
      </c>
      <c r="C38" s="111"/>
      <c r="D38" s="111"/>
      <c r="E38" s="111"/>
      <c r="F38" s="17"/>
      <c r="G38" s="112"/>
    </row>
    <row r="39" spans="1:7" ht="16.5" x14ac:dyDescent="0.25">
      <c r="A39" s="106" t="s">
        <v>173</v>
      </c>
      <c r="B39" s="8" t="s">
        <v>174</v>
      </c>
      <c r="C39" s="109">
        <v>1</v>
      </c>
      <c r="D39" s="109">
        <v>5</v>
      </c>
      <c r="E39" s="109">
        <v>5</v>
      </c>
      <c r="F39" s="13" t="s">
        <v>535</v>
      </c>
      <c r="G39" s="110" t="s">
        <v>47</v>
      </c>
    </row>
    <row r="40" spans="1:7" ht="16.5" x14ac:dyDescent="0.25">
      <c r="A40" s="107"/>
      <c r="B40" s="8" t="s">
        <v>84</v>
      </c>
      <c r="C40" s="104"/>
      <c r="D40" s="104"/>
      <c r="E40" s="104"/>
      <c r="F40" s="13" t="s">
        <v>85</v>
      </c>
      <c r="G40" s="107"/>
    </row>
    <row r="41" spans="1:7" ht="16.5" x14ac:dyDescent="0.25">
      <c r="A41" s="107"/>
      <c r="B41" s="13" t="s">
        <v>533</v>
      </c>
      <c r="C41" s="104"/>
      <c r="D41" s="104"/>
      <c r="E41" s="104"/>
      <c r="F41" s="15"/>
      <c r="G41" s="107"/>
    </row>
    <row r="42" spans="1:7" ht="17.25" thickBot="1" x14ac:dyDescent="0.3">
      <c r="A42" s="107"/>
      <c r="B42" s="28" t="s">
        <v>534</v>
      </c>
      <c r="C42" s="105"/>
      <c r="D42" s="105"/>
      <c r="E42" s="105"/>
      <c r="F42" s="25"/>
      <c r="G42" s="108"/>
    </row>
    <row r="43" spans="1:7" ht="16.5" x14ac:dyDescent="0.25">
      <c r="A43" s="107"/>
      <c r="B43" s="8" t="s">
        <v>88</v>
      </c>
      <c r="C43" s="103">
        <v>1</v>
      </c>
      <c r="D43" s="103">
        <v>5</v>
      </c>
      <c r="E43" s="103">
        <v>5</v>
      </c>
      <c r="F43" s="13" t="s">
        <v>537</v>
      </c>
      <c r="G43" s="106" t="s">
        <v>47</v>
      </c>
    </row>
    <row r="44" spans="1:7" ht="16.5" x14ac:dyDescent="0.25">
      <c r="A44" s="107"/>
      <c r="B44" s="13" t="s">
        <v>536</v>
      </c>
      <c r="C44" s="104"/>
      <c r="D44" s="104"/>
      <c r="E44" s="104"/>
      <c r="F44" s="13" t="s">
        <v>91</v>
      </c>
      <c r="G44" s="107"/>
    </row>
    <row r="45" spans="1:7" ht="17.25" thickBot="1" x14ac:dyDescent="0.3">
      <c r="A45" s="107"/>
      <c r="B45" s="28" t="s">
        <v>92</v>
      </c>
      <c r="C45" s="105"/>
      <c r="D45" s="105"/>
      <c r="E45" s="105"/>
      <c r="F45" s="25"/>
      <c r="G45" s="108"/>
    </row>
    <row r="46" spans="1:7" ht="16.5" x14ac:dyDescent="0.25">
      <c r="A46" s="107"/>
      <c r="B46" s="8" t="s">
        <v>93</v>
      </c>
      <c r="C46" s="103">
        <v>1</v>
      </c>
      <c r="D46" s="103">
        <v>4</v>
      </c>
      <c r="E46" s="103">
        <v>3</v>
      </c>
      <c r="F46" s="13" t="s">
        <v>540</v>
      </c>
      <c r="G46" s="106" t="s">
        <v>95</v>
      </c>
    </row>
    <row r="47" spans="1:7" ht="16.5" x14ac:dyDescent="0.25">
      <c r="A47" s="107"/>
      <c r="B47" s="13" t="s">
        <v>538</v>
      </c>
      <c r="C47" s="104"/>
      <c r="D47" s="104"/>
      <c r="E47" s="104"/>
      <c r="F47" s="13" t="s">
        <v>97</v>
      </c>
      <c r="G47" s="107"/>
    </row>
    <row r="48" spans="1:7" ht="17.25" thickBot="1" x14ac:dyDescent="0.3">
      <c r="A48" s="108"/>
      <c r="B48" s="28" t="s">
        <v>539</v>
      </c>
      <c r="C48" s="105"/>
      <c r="D48" s="105"/>
      <c r="E48" s="105"/>
      <c r="F48" s="25"/>
      <c r="G48" s="108"/>
    </row>
    <row r="49" spans="1:7" ht="16.5" x14ac:dyDescent="0.25">
      <c r="A49" s="106" t="s">
        <v>184</v>
      </c>
      <c r="B49" s="8" t="s">
        <v>185</v>
      </c>
      <c r="C49" s="103">
        <v>1</v>
      </c>
      <c r="D49" s="103">
        <v>5</v>
      </c>
      <c r="E49" s="103">
        <v>5</v>
      </c>
      <c r="F49" s="19" t="s">
        <v>101</v>
      </c>
      <c r="G49" s="106" t="s">
        <v>102</v>
      </c>
    </row>
    <row r="50" spans="1:7" ht="16.5" x14ac:dyDescent="0.25">
      <c r="A50" s="107"/>
      <c r="B50" s="19" t="s">
        <v>103</v>
      </c>
      <c r="C50" s="104"/>
      <c r="D50" s="104"/>
      <c r="E50" s="104"/>
      <c r="F50" s="19" t="s">
        <v>104</v>
      </c>
      <c r="G50" s="107"/>
    </row>
    <row r="51" spans="1:7" ht="16.5" x14ac:dyDescent="0.25">
      <c r="A51" s="107"/>
      <c r="B51" s="19" t="s">
        <v>105</v>
      </c>
      <c r="C51" s="104"/>
      <c r="D51" s="104"/>
      <c r="E51" s="104"/>
      <c r="F51" s="19" t="s">
        <v>106</v>
      </c>
      <c r="G51" s="107"/>
    </row>
    <row r="52" spans="1:7" ht="16.5" x14ac:dyDescent="0.25">
      <c r="A52" s="107"/>
      <c r="B52" s="19" t="s">
        <v>107</v>
      </c>
      <c r="C52" s="104"/>
      <c r="D52" s="104"/>
      <c r="E52" s="104"/>
      <c r="F52" s="19" t="s">
        <v>108</v>
      </c>
      <c r="G52" s="107"/>
    </row>
    <row r="53" spans="1:7" ht="16.5" x14ac:dyDescent="0.25">
      <c r="A53" s="107"/>
      <c r="B53" s="19" t="s">
        <v>109</v>
      </c>
      <c r="C53" s="104"/>
      <c r="D53" s="104"/>
      <c r="E53" s="104"/>
      <c r="F53" s="19" t="s">
        <v>110</v>
      </c>
      <c r="G53" s="107"/>
    </row>
    <row r="54" spans="1:7" ht="16.5" x14ac:dyDescent="0.25">
      <c r="A54" s="107"/>
      <c r="B54" s="19" t="s">
        <v>111</v>
      </c>
      <c r="C54" s="104"/>
      <c r="D54" s="104"/>
      <c r="E54" s="104"/>
      <c r="F54" s="19" t="s">
        <v>112</v>
      </c>
      <c r="G54" s="107"/>
    </row>
    <row r="55" spans="1:7" ht="16.5" x14ac:dyDescent="0.25">
      <c r="A55" s="107"/>
      <c r="B55" s="19" t="s">
        <v>113</v>
      </c>
      <c r="C55" s="104"/>
      <c r="D55" s="104"/>
      <c r="E55" s="104"/>
      <c r="F55" s="19" t="s">
        <v>114</v>
      </c>
      <c r="G55" s="107"/>
    </row>
    <row r="56" spans="1:7" ht="16.5" x14ac:dyDescent="0.25">
      <c r="A56" s="107"/>
      <c r="B56" s="19" t="s">
        <v>115</v>
      </c>
      <c r="C56" s="104"/>
      <c r="D56" s="104"/>
      <c r="E56" s="104"/>
      <c r="F56" s="19" t="s">
        <v>116</v>
      </c>
      <c r="G56" s="107"/>
    </row>
    <row r="57" spans="1:7" ht="16.5" x14ac:dyDescent="0.25">
      <c r="A57" s="107"/>
      <c r="B57" s="19" t="s">
        <v>117</v>
      </c>
      <c r="C57" s="104"/>
      <c r="D57" s="104"/>
      <c r="E57" s="104"/>
      <c r="F57" s="19" t="s">
        <v>118</v>
      </c>
      <c r="G57" s="107"/>
    </row>
    <row r="58" spans="1:7" ht="17.25" thickBot="1" x14ac:dyDescent="0.3">
      <c r="A58" s="108"/>
      <c r="B58" s="31" t="s">
        <v>119</v>
      </c>
      <c r="C58" s="105"/>
      <c r="D58" s="105"/>
      <c r="E58" s="105"/>
      <c r="F58" s="31" t="s">
        <v>120</v>
      </c>
      <c r="G58" s="108"/>
    </row>
    <row r="59" spans="1:7" ht="17.25" thickBot="1" x14ac:dyDescent="0.3">
      <c r="A59" s="18"/>
      <c r="B59" s="130" t="s">
        <v>121</v>
      </c>
      <c r="C59" s="131"/>
      <c r="D59" s="132"/>
      <c r="E59" s="32">
        <v>85</v>
      </c>
      <c r="F59" s="33"/>
      <c r="G59" s="34"/>
    </row>
  </sheetData>
  <mergeCells count="67">
    <mergeCell ref="A49:A58"/>
    <mergeCell ref="C49:C58"/>
    <mergeCell ref="D49:D58"/>
    <mergeCell ref="E49:E58"/>
    <mergeCell ref="G49:G58"/>
    <mergeCell ref="B59:D59"/>
    <mergeCell ref="D43:D45"/>
    <mergeCell ref="E43:E45"/>
    <mergeCell ref="G43:G45"/>
    <mergeCell ref="C46:C48"/>
    <mergeCell ref="D46:D48"/>
    <mergeCell ref="E46:E48"/>
    <mergeCell ref="G46:G48"/>
    <mergeCell ref="C36:C38"/>
    <mergeCell ref="D36:D38"/>
    <mergeCell ref="E36:E38"/>
    <mergeCell ref="G36:G38"/>
    <mergeCell ref="A39:A48"/>
    <mergeCell ref="C39:C42"/>
    <mergeCell ref="D39:D42"/>
    <mergeCell ref="E39:E42"/>
    <mergeCell ref="G39:G42"/>
    <mergeCell ref="C43:C45"/>
    <mergeCell ref="G26:G28"/>
    <mergeCell ref="A29:A38"/>
    <mergeCell ref="C29:C32"/>
    <mergeCell ref="D29:D32"/>
    <mergeCell ref="E29:E32"/>
    <mergeCell ref="G29:G32"/>
    <mergeCell ref="C33:C35"/>
    <mergeCell ref="D33:D35"/>
    <mergeCell ref="E33:E35"/>
    <mergeCell ref="G33:G35"/>
    <mergeCell ref="A12:A28"/>
    <mergeCell ref="C12:C14"/>
    <mergeCell ref="D12:D14"/>
    <mergeCell ref="E12:E14"/>
    <mergeCell ref="G12:G14"/>
    <mergeCell ref="C15:C16"/>
    <mergeCell ref="C23:C25"/>
    <mergeCell ref="D23:D25"/>
    <mergeCell ref="E23:E25"/>
    <mergeCell ref="C26:C28"/>
    <mergeCell ref="D26:D28"/>
    <mergeCell ref="E26:E28"/>
    <mergeCell ref="C17:C18"/>
    <mergeCell ref="D17:D18"/>
    <mergeCell ref="E17:E18"/>
    <mergeCell ref="G17:G18"/>
    <mergeCell ref="C19:C22"/>
    <mergeCell ref="D19:D22"/>
    <mergeCell ref="E19:E22"/>
    <mergeCell ref="G19:G22"/>
    <mergeCell ref="D15:D16"/>
    <mergeCell ref="E15:E16"/>
    <mergeCell ref="F15:F16"/>
    <mergeCell ref="G15:G16"/>
    <mergeCell ref="B1:B3"/>
    <mergeCell ref="A4:A11"/>
    <mergeCell ref="C4:C7"/>
    <mergeCell ref="D4:D7"/>
    <mergeCell ref="E4:E7"/>
    <mergeCell ref="G4:G7"/>
    <mergeCell ref="C8:C11"/>
    <mergeCell ref="D8:D11"/>
    <mergeCell ref="E8:E11"/>
    <mergeCell ref="G8:G11"/>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5112EC-35B7-4E2D-B5A2-4FFA9FFB88E6}">
  <dimension ref="A1:G59"/>
  <sheetViews>
    <sheetView topLeftCell="A26" zoomScale="70" zoomScaleNormal="70" workbookViewId="0">
      <selection activeCell="E38" sqref="E38:E58"/>
    </sheetView>
  </sheetViews>
  <sheetFormatPr defaultRowHeight="15" x14ac:dyDescent="0.25"/>
  <cols>
    <col min="1" max="1" width="6.85546875" bestFit="1" customWidth="1"/>
    <col min="2" max="2" width="147.140625" bestFit="1" customWidth="1"/>
    <col min="3" max="3" width="11.140625" bestFit="1" customWidth="1"/>
    <col min="4" max="4" width="9" bestFit="1" customWidth="1"/>
    <col min="5" max="5" width="7.5703125" bestFit="1" customWidth="1"/>
    <col min="6" max="6" width="207.42578125" bestFit="1" customWidth="1"/>
    <col min="7" max="7" width="107.42578125" bestFit="1" customWidth="1"/>
  </cols>
  <sheetData>
    <row r="1" spans="1:7" ht="16.5" x14ac:dyDescent="0.25">
      <c r="A1" s="43" t="s">
        <v>0</v>
      </c>
      <c r="B1" s="120" t="s">
        <v>1</v>
      </c>
      <c r="C1" s="44" t="s">
        <v>2</v>
      </c>
      <c r="D1" s="44" t="s">
        <v>3</v>
      </c>
      <c r="E1" s="44" t="s">
        <v>0</v>
      </c>
      <c r="F1" s="44" t="s">
        <v>4</v>
      </c>
      <c r="G1" s="120" t="s">
        <v>408</v>
      </c>
    </row>
    <row r="2" spans="1:7" ht="16.5" x14ac:dyDescent="0.25">
      <c r="A2" s="45" t="s">
        <v>6</v>
      </c>
      <c r="B2" s="121"/>
      <c r="C2" s="46" t="s">
        <v>7</v>
      </c>
      <c r="D2" s="46" t="s">
        <v>8</v>
      </c>
      <c r="E2" s="46" t="s">
        <v>9</v>
      </c>
      <c r="F2" s="46" t="s">
        <v>10</v>
      </c>
      <c r="G2" s="121"/>
    </row>
    <row r="3" spans="1:7" ht="17.25" thickBot="1" x14ac:dyDescent="0.3">
      <c r="A3" s="58"/>
      <c r="B3" s="122"/>
      <c r="C3" s="47" t="s">
        <v>12</v>
      </c>
      <c r="D3" s="47" t="s">
        <v>12</v>
      </c>
      <c r="E3" s="47" t="s">
        <v>13</v>
      </c>
      <c r="F3" s="41"/>
      <c r="G3" s="122"/>
    </row>
    <row r="4" spans="1:7" ht="21" x14ac:dyDescent="0.25">
      <c r="A4" s="110" t="s">
        <v>14</v>
      </c>
      <c r="B4" s="8" t="s">
        <v>15</v>
      </c>
      <c r="C4" s="103">
        <v>2</v>
      </c>
      <c r="D4" s="103">
        <v>2</v>
      </c>
      <c r="E4" s="103">
        <v>4</v>
      </c>
      <c r="F4" s="9" t="s">
        <v>542</v>
      </c>
      <c r="G4" s="106" t="s">
        <v>47</v>
      </c>
    </row>
    <row r="5" spans="1:7" ht="21" x14ac:dyDescent="0.25">
      <c r="A5" s="107"/>
      <c r="B5" s="8" t="s">
        <v>122</v>
      </c>
      <c r="C5" s="104"/>
      <c r="D5" s="104"/>
      <c r="E5" s="104"/>
      <c r="F5" s="9" t="s">
        <v>125</v>
      </c>
      <c r="G5" s="107"/>
    </row>
    <row r="6" spans="1:7" ht="21.75" thickBot="1" x14ac:dyDescent="0.3">
      <c r="A6" s="107"/>
      <c r="B6" s="52" t="s">
        <v>541</v>
      </c>
      <c r="C6" s="111"/>
      <c r="D6" s="111"/>
      <c r="E6" s="111"/>
      <c r="F6" s="42" t="s">
        <v>126</v>
      </c>
      <c r="G6" s="108"/>
    </row>
    <row r="7" spans="1:7" ht="21" x14ac:dyDescent="0.25">
      <c r="A7" s="107"/>
      <c r="B7" s="8" t="s">
        <v>127</v>
      </c>
      <c r="C7" s="109">
        <v>2</v>
      </c>
      <c r="D7" s="109">
        <v>2</v>
      </c>
      <c r="E7" s="109">
        <v>4</v>
      </c>
      <c r="F7" s="9" t="s">
        <v>542</v>
      </c>
      <c r="G7" s="106" t="s">
        <v>47</v>
      </c>
    </row>
    <row r="8" spans="1:7" ht="21" x14ac:dyDescent="0.25">
      <c r="A8" s="107"/>
      <c r="B8" s="13" t="s">
        <v>543</v>
      </c>
      <c r="C8" s="104"/>
      <c r="D8" s="104"/>
      <c r="E8" s="104"/>
      <c r="F8" s="9" t="s">
        <v>125</v>
      </c>
      <c r="G8" s="107"/>
    </row>
    <row r="9" spans="1:7" ht="21.75" thickBot="1" x14ac:dyDescent="0.3">
      <c r="A9" s="108"/>
      <c r="B9" s="20"/>
      <c r="C9" s="111"/>
      <c r="D9" s="111"/>
      <c r="E9" s="111"/>
      <c r="F9" s="42" t="s">
        <v>129</v>
      </c>
      <c r="G9" s="108"/>
    </row>
    <row r="10" spans="1:7" ht="16.5" x14ac:dyDescent="0.25">
      <c r="A10" s="106" t="s">
        <v>34</v>
      </c>
      <c r="B10" s="8" t="s">
        <v>35</v>
      </c>
      <c r="C10" s="109">
        <v>1</v>
      </c>
      <c r="D10" s="109">
        <v>4</v>
      </c>
      <c r="E10" s="109">
        <v>4</v>
      </c>
      <c r="F10" s="19" t="s">
        <v>130</v>
      </c>
      <c r="G10" s="106" t="s">
        <v>17</v>
      </c>
    </row>
    <row r="11" spans="1:7" ht="16.5" x14ac:dyDescent="0.25">
      <c r="A11" s="107"/>
      <c r="B11" s="8" t="s">
        <v>37</v>
      </c>
      <c r="C11" s="104"/>
      <c r="D11" s="104"/>
      <c r="E11" s="104"/>
      <c r="F11" s="19" t="s">
        <v>131</v>
      </c>
      <c r="G11" s="107"/>
    </row>
    <row r="12" spans="1:7" ht="17.25" thickBot="1" x14ac:dyDescent="0.3">
      <c r="A12" s="107"/>
      <c r="B12" s="16" t="s">
        <v>266</v>
      </c>
      <c r="C12" s="111"/>
      <c r="D12" s="111"/>
      <c r="E12" s="111"/>
      <c r="F12" s="59"/>
      <c r="G12" s="108"/>
    </row>
    <row r="13" spans="1:7" ht="16.5" x14ac:dyDescent="0.25">
      <c r="A13" s="107"/>
      <c r="B13" s="8" t="s">
        <v>40</v>
      </c>
      <c r="C13" s="109">
        <v>1</v>
      </c>
      <c r="D13" s="109">
        <v>4</v>
      </c>
      <c r="E13" s="109">
        <v>4</v>
      </c>
      <c r="F13" s="128" t="s">
        <v>414</v>
      </c>
      <c r="G13" s="106" t="s">
        <v>17</v>
      </c>
    </row>
    <row r="14" spans="1:7" ht="17.25" thickBot="1" x14ac:dyDescent="0.3">
      <c r="A14" s="107"/>
      <c r="B14" s="16" t="s">
        <v>267</v>
      </c>
      <c r="C14" s="111"/>
      <c r="D14" s="111"/>
      <c r="E14" s="111"/>
      <c r="F14" s="129"/>
      <c r="G14" s="108"/>
    </row>
    <row r="15" spans="1:7" ht="16.5" x14ac:dyDescent="0.25">
      <c r="A15" s="107"/>
      <c r="B15" s="8" t="s">
        <v>133</v>
      </c>
      <c r="C15" s="109">
        <v>1</v>
      </c>
      <c r="D15" s="109">
        <v>4</v>
      </c>
      <c r="E15" s="109">
        <v>4</v>
      </c>
      <c r="F15" s="19" t="s">
        <v>544</v>
      </c>
      <c r="G15" s="106" t="s">
        <v>17</v>
      </c>
    </row>
    <row r="16" spans="1:7" ht="21" x14ac:dyDescent="0.25">
      <c r="A16" s="107"/>
      <c r="B16" s="13" t="s">
        <v>134</v>
      </c>
      <c r="C16" s="104"/>
      <c r="D16" s="104"/>
      <c r="E16" s="104"/>
      <c r="F16" s="9" t="s">
        <v>545</v>
      </c>
      <c r="G16" s="107"/>
    </row>
    <row r="17" spans="1:7" ht="17.25" thickBot="1" x14ac:dyDescent="0.3">
      <c r="A17" s="107"/>
      <c r="B17" s="55"/>
      <c r="C17" s="111"/>
      <c r="D17" s="111"/>
      <c r="E17" s="111"/>
      <c r="F17" s="17"/>
      <c r="G17" s="112"/>
    </row>
    <row r="18" spans="1:7" ht="16.5" x14ac:dyDescent="0.25">
      <c r="A18" s="107"/>
      <c r="B18" s="8" t="s">
        <v>137</v>
      </c>
      <c r="C18" s="109">
        <v>2</v>
      </c>
      <c r="D18" s="109">
        <v>4</v>
      </c>
      <c r="E18" s="109">
        <v>8</v>
      </c>
      <c r="F18" s="13" t="s">
        <v>54</v>
      </c>
      <c r="G18" s="110" t="s">
        <v>47</v>
      </c>
    </row>
    <row r="19" spans="1:7" ht="16.5" x14ac:dyDescent="0.25">
      <c r="A19" s="107"/>
      <c r="B19" s="13" t="s">
        <v>55</v>
      </c>
      <c r="C19" s="104"/>
      <c r="D19" s="104"/>
      <c r="E19" s="104"/>
      <c r="F19" s="13" t="s">
        <v>56</v>
      </c>
      <c r="G19" s="107"/>
    </row>
    <row r="20" spans="1:7" ht="16.5" x14ac:dyDescent="0.25">
      <c r="A20" s="107"/>
      <c r="B20" s="13" t="s">
        <v>57</v>
      </c>
      <c r="C20" s="104"/>
      <c r="D20" s="104"/>
      <c r="E20" s="104"/>
      <c r="F20" s="19" t="s">
        <v>418</v>
      </c>
      <c r="G20" s="107"/>
    </row>
    <row r="21" spans="1:7" ht="17.25" thickBot="1" x14ac:dyDescent="0.3">
      <c r="A21" s="107"/>
      <c r="B21" s="16" t="s">
        <v>546</v>
      </c>
      <c r="C21" s="111"/>
      <c r="D21" s="111"/>
      <c r="E21" s="111"/>
      <c r="F21" s="61"/>
      <c r="G21" s="112"/>
    </row>
    <row r="22" spans="1:7" ht="16.5" x14ac:dyDescent="0.25">
      <c r="A22" s="107"/>
      <c r="B22" s="8" t="s">
        <v>140</v>
      </c>
      <c r="C22" s="109">
        <v>3</v>
      </c>
      <c r="D22" s="109">
        <v>4</v>
      </c>
      <c r="E22" s="109">
        <v>12</v>
      </c>
      <c r="F22" s="13" t="s">
        <v>143</v>
      </c>
      <c r="G22" s="23" t="s">
        <v>17</v>
      </c>
    </row>
    <row r="23" spans="1:7" ht="16.5" x14ac:dyDescent="0.25">
      <c r="A23" s="107"/>
      <c r="B23" s="13" t="s">
        <v>547</v>
      </c>
      <c r="C23" s="104"/>
      <c r="D23" s="104"/>
      <c r="E23" s="104"/>
      <c r="F23" s="13" t="s">
        <v>549</v>
      </c>
      <c r="G23" s="23" t="s">
        <v>47</v>
      </c>
    </row>
    <row r="24" spans="1:7" ht="17.25" thickBot="1" x14ac:dyDescent="0.3">
      <c r="A24" s="107"/>
      <c r="B24" s="16" t="s">
        <v>548</v>
      </c>
      <c r="C24" s="111"/>
      <c r="D24" s="111"/>
      <c r="E24" s="111"/>
      <c r="F24" s="16" t="s">
        <v>145</v>
      </c>
      <c r="G24" s="17"/>
    </row>
    <row r="25" spans="1:7" ht="16.5" x14ac:dyDescent="0.25">
      <c r="A25" s="107"/>
      <c r="B25" s="8" t="s">
        <v>60</v>
      </c>
      <c r="C25" s="109">
        <v>1</v>
      </c>
      <c r="D25" s="109">
        <v>4</v>
      </c>
      <c r="E25" s="109">
        <v>4</v>
      </c>
      <c r="F25" s="13" t="s">
        <v>148</v>
      </c>
      <c r="G25" s="110" t="s">
        <v>47</v>
      </c>
    </row>
    <row r="26" spans="1:7" ht="16.5" x14ac:dyDescent="0.25">
      <c r="A26" s="107"/>
      <c r="B26" s="13" t="s">
        <v>550</v>
      </c>
      <c r="C26" s="104"/>
      <c r="D26" s="104"/>
      <c r="E26" s="104"/>
      <c r="F26" s="13" t="s">
        <v>552</v>
      </c>
      <c r="G26" s="107"/>
    </row>
    <row r="27" spans="1:7" ht="17.25" thickBot="1" x14ac:dyDescent="0.3">
      <c r="A27" s="112"/>
      <c r="B27" s="16" t="s">
        <v>551</v>
      </c>
      <c r="C27" s="111"/>
      <c r="D27" s="111"/>
      <c r="E27" s="111"/>
      <c r="F27" s="17"/>
      <c r="G27" s="112"/>
    </row>
    <row r="28" spans="1:7" ht="16.5" x14ac:dyDescent="0.25">
      <c r="A28" s="110" t="s">
        <v>81</v>
      </c>
      <c r="B28" s="8" t="s">
        <v>150</v>
      </c>
      <c r="C28" s="109">
        <v>4</v>
      </c>
      <c r="D28" s="109">
        <v>3</v>
      </c>
      <c r="E28" s="109">
        <v>12</v>
      </c>
      <c r="F28" s="13" t="s">
        <v>554</v>
      </c>
      <c r="G28" s="110" t="s">
        <v>556</v>
      </c>
    </row>
    <row r="29" spans="1:7" ht="16.5" x14ac:dyDescent="0.25">
      <c r="A29" s="107"/>
      <c r="B29" s="8" t="s">
        <v>151</v>
      </c>
      <c r="C29" s="104"/>
      <c r="D29" s="104"/>
      <c r="E29" s="104"/>
      <c r="F29" s="13" t="s">
        <v>154</v>
      </c>
      <c r="G29" s="107"/>
    </row>
    <row r="30" spans="1:7" ht="17.25" thickBot="1" x14ac:dyDescent="0.3">
      <c r="A30" s="107"/>
      <c r="B30" s="52" t="s">
        <v>553</v>
      </c>
      <c r="C30" s="111"/>
      <c r="D30" s="111"/>
      <c r="E30" s="111"/>
      <c r="F30" s="16" t="s">
        <v>555</v>
      </c>
      <c r="G30" s="108"/>
    </row>
    <row r="31" spans="1:7" ht="16.5" x14ac:dyDescent="0.25">
      <c r="A31" s="107"/>
      <c r="B31" s="8" t="s">
        <v>282</v>
      </c>
      <c r="C31" s="109">
        <v>1</v>
      </c>
      <c r="D31" s="109">
        <v>4</v>
      </c>
      <c r="E31" s="109">
        <v>4</v>
      </c>
      <c r="F31" s="13" t="s">
        <v>558</v>
      </c>
      <c r="G31" s="106" t="s">
        <v>17</v>
      </c>
    </row>
    <row r="32" spans="1:7" ht="17.25" thickBot="1" x14ac:dyDescent="0.3">
      <c r="A32" s="107"/>
      <c r="B32" s="16" t="s">
        <v>557</v>
      </c>
      <c r="C32" s="111"/>
      <c r="D32" s="111"/>
      <c r="E32" s="111"/>
      <c r="F32" s="16" t="s">
        <v>559</v>
      </c>
      <c r="G32" s="108"/>
    </row>
    <row r="33" spans="1:7" ht="16.5" x14ac:dyDescent="0.25">
      <c r="A33" s="107"/>
      <c r="B33" s="8" t="s">
        <v>161</v>
      </c>
      <c r="C33" s="109">
        <v>1</v>
      </c>
      <c r="D33" s="109">
        <v>3</v>
      </c>
      <c r="E33" s="109">
        <v>3</v>
      </c>
      <c r="F33" s="116" t="s">
        <v>561</v>
      </c>
      <c r="G33" s="106" t="s">
        <v>47</v>
      </c>
    </row>
    <row r="34" spans="1:7" ht="17.25" thickBot="1" x14ac:dyDescent="0.3">
      <c r="A34" s="107"/>
      <c r="B34" s="16" t="s">
        <v>560</v>
      </c>
      <c r="C34" s="111"/>
      <c r="D34" s="111"/>
      <c r="E34" s="111"/>
      <c r="F34" s="119"/>
      <c r="G34" s="108"/>
    </row>
    <row r="35" spans="1:7" ht="16.5" x14ac:dyDescent="0.25">
      <c r="A35" s="107"/>
      <c r="B35" s="8" t="s">
        <v>432</v>
      </c>
      <c r="C35" s="109">
        <v>1</v>
      </c>
      <c r="D35" s="109">
        <v>4</v>
      </c>
      <c r="E35" s="109">
        <v>4</v>
      </c>
      <c r="F35" s="19" t="s">
        <v>77</v>
      </c>
      <c r="G35" s="106" t="s">
        <v>47</v>
      </c>
    </row>
    <row r="36" spans="1:7" ht="16.5" x14ac:dyDescent="0.25">
      <c r="A36" s="107"/>
      <c r="B36" s="13" t="s">
        <v>562</v>
      </c>
      <c r="C36" s="104"/>
      <c r="D36" s="104"/>
      <c r="E36" s="104"/>
      <c r="F36" s="19" t="s">
        <v>563</v>
      </c>
      <c r="G36" s="107"/>
    </row>
    <row r="37" spans="1:7" ht="17.25" thickBot="1" x14ac:dyDescent="0.3">
      <c r="A37" s="108"/>
      <c r="B37" s="16" t="s">
        <v>80</v>
      </c>
      <c r="C37" s="111"/>
      <c r="D37" s="111"/>
      <c r="E37" s="111"/>
      <c r="F37" s="17"/>
      <c r="G37" s="108"/>
    </row>
    <row r="38" spans="1:7" ht="16.5" x14ac:dyDescent="0.25">
      <c r="A38" s="106" t="s">
        <v>173</v>
      </c>
      <c r="B38" s="8" t="s">
        <v>174</v>
      </c>
      <c r="C38" s="109">
        <v>1</v>
      </c>
      <c r="D38" s="109">
        <v>4</v>
      </c>
      <c r="E38" s="109">
        <v>4</v>
      </c>
      <c r="F38" s="13" t="s">
        <v>566</v>
      </c>
      <c r="G38" s="106" t="s">
        <v>47</v>
      </c>
    </row>
    <row r="39" spans="1:7" ht="16.5" x14ac:dyDescent="0.25">
      <c r="A39" s="107"/>
      <c r="B39" s="8" t="s">
        <v>84</v>
      </c>
      <c r="C39" s="104"/>
      <c r="D39" s="104"/>
      <c r="E39" s="104"/>
      <c r="F39" s="13" t="s">
        <v>85</v>
      </c>
      <c r="G39" s="107"/>
    </row>
    <row r="40" spans="1:7" ht="16.5" x14ac:dyDescent="0.25">
      <c r="A40" s="107"/>
      <c r="B40" s="13" t="s">
        <v>564</v>
      </c>
      <c r="C40" s="104"/>
      <c r="D40" s="104"/>
      <c r="E40" s="104"/>
      <c r="F40" s="14"/>
      <c r="G40" s="107"/>
    </row>
    <row r="41" spans="1:7" ht="17.25" thickBot="1" x14ac:dyDescent="0.3">
      <c r="A41" s="107"/>
      <c r="B41" s="16" t="s">
        <v>565</v>
      </c>
      <c r="C41" s="111"/>
      <c r="D41" s="111"/>
      <c r="E41" s="111"/>
      <c r="F41" s="17"/>
      <c r="G41" s="108"/>
    </row>
    <row r="42" spans="1:7" ht="16.5" x14ac:dyDescent="0.25">
      <c r="A42" s="107"/>
      <c r="B42" s="8" t="s">
        <v>88</v>
      </c>
      <c r="C42" s="109">
        <v>2</v>
      </c>
      <c r="D42" s="109">
        <v>4</v>
      </c>
      <c r="E42" s="109">
        <v>8</v>
      </c>
      <c r="F42" s="13" t="s">
        <v>568</v>
      </c>
      <c r="G42" s="106" t="s">
        <v>47</v>
      </c>
    </row>
    <row r="43" spans="1:7" ht="16.5" x14ac:dyDescent="0.25">
      <c r="A43" s="107"/>
      <c r="B43" s="13" t="s">
        <v>567</v>
      </c>
      <c r="C43" s="104"/>
      <c r="D43" s="104"/>
      <c r="E43" s="104"/>
      <c r="F43" s="13" t="s">
        <v>91</v>
      </c>
      <c r="G43" s="107"/>
    </row>
    <row r="44" spans="1:7" ht="17.25" thickBot="1" x14ac:dyDescent="0.3">
      <c r="A44" s="107"/>
      <c r="B44" s="16" t="s">
        <v>92</v>
      </c>
      <c r="C44" s="111"/>
      <c r="D44" s="111"/>
      <c r="E44" s="111"/>
      <c r="F44" s="17"/>
      <c r="G44" s="108"/>
    </row>
    <row r="45" spans="1:7" ht="16.5" x14ac:dyDescent="0.25">
      <c r="A45" s="107"/>
      <c r="B45" s="8" t="s">
        <v>93</v>
      </c>
      <c r="C45" s="109">
        <v>1</v>
      </c>
      <c r="D45" s="109">
        <v>4</v>
      </c>
      <c r="E45" s="109">
        <v>4</v>
      </c>
      <c r="F45" s="13" t="s">
        <v>571</v>
      </c>
      <c r="G45" s="106" t="s">
        <v>183</v>
      </c>
    </row>
    <row r="46" spans="1:7" ht="16.5" x14ac:dyDescent="0.25">
      <c r="A46" s="107"/>
      <c r="B46" s="13" t="s">
        <v>569</v>
      </c>
      <c r="C46" s="104"/>
      <c r="D46" s="104"/>
      <c r="E46" s="104"/>
      <c r="F46" s="13" t="s">
        <v>97</v>
      </c>
      <c r="G46" s="107"/>
    </row>
    <row r="47" spans="1:7" ht="17.25" thickBot="1" x14ac:dyDescent="0.3">
      <c r="A47" s="108"/>
      <c r="B47" s="16" t="s">
        <v>570</v>
      </c>
      <c r="C47" s="111"/>
      <c r="D47" s="111"/>
      <c r="E47" s="111"/>
      <c r="F47" s="17"/>
      <c r="G47" s="108"/>
    </row>
    <row r="48" spans="1:7" ht="16.5" x14ac:dyDescent="0.25">
      <c r="A48" s="113"/>
      <c r="B48" s="8" t="s">
        <v>185</v>
      </c>
      <c r="C48" s="109">
        <v>1</v>
      </c>
      <c r="D48" s="109">
        <v>5</v>
      </c>
      <c r="E48" s="109">
        <v>5</v>
      </c>
      <c r="F48" s="19" t="s">
        <v>101</v>
      </c>
      <c r="G48" s="106" t="s">
        <v>102</v>
      </c>
    </row>
    <row r="49" spans="1:7" ht="16.5" x14ac:dyDescent="0.25">
      <c r="A49" s="114"/>
      <c r="B49" s="19" t="s">
        <v>103</v>
      </c>
      <c r="C49" s="104"/>
      <c r="D49" s="104"/>
      <c r="E49" s="104"/>
      <c r="F49" s="19" t="s">
        <v>104</v>
      </c>
      <c r="G49" s="107"/>
    </row>
    <row r="50" spans="1:7" ht="16.5" x14ac:dyDescent="0.25">
      <c r="A50" s="114"/>
      <c r="B50" s="19" t="s">
        <v>105</v>
      </c>
      <c r="C50" s="104"/>
      <c r="D50" s="104"/>
      <c r="E50" s="104"/>
      <c r="F50" s="19" t="s">
        <v>106</v>
      </c>
      <c r="G50" s="107"/>
    </row>
    <row r="51" spans="1:7" ht="16.5" x14ac:dyDescent="0.25">
      <c r="A51" s="114"/>
      <c r="B51" s="19" t="s">
        <v>107</v>
      </c>
      <c r="C51" s="104"/>
      <c r="D51" s="104"/>
      <c r="E51" s="104"/>
      <c r="F51" s="19" t="s">
        <v>108</v>
      </c>
      <c r="G51" s="107"/>
    </row>
    <row r="52" spans="1:7" ht="16.5" x14ac:dyDescent="0.25">
      <c r="A52" s="114"/>
      <c r="B52" s="19" t="s">
        <v>109</v>
      </c>
      <c r="C52" s="104"/>
      <c r="D52" s="104"/>
      <c r="E52" s="104"/>
      <c r="F52" s="19" t="s">
        <v>110</v>
      </c>
      <c r="G52" s="107"/>
    </row>
    <row r="53" spans="1:7" ht="16.5" x14ac:dyDescent="0.25">
      <c r="A53" s="114"/>
      <c r="B53" s="19" t="s">
        <v>111</v>
      </c>
      <c r="C53" s="104"/>
      <c r="D53" s="104"/>
      <c r="E53" s="104"/>
      <c r="F53" s="19" t="s">
        <v>112</v>
      </c>
      <c r="G53" s="107"/>
    </row>
    <row r="54" spans="1:7" ht="16.5" x14ac:dyDescent="0.25">
      <c r="A54" s="114"/>
      <c r="B54" s="19" t="s">
        <v>113</v>
      </c>
      <c r="C54" s="104"/>
      <c r="D54" s="104"/>
      <c r="E54" s="104"/>
      <c r="F54" s="19" t="s">
        <v>114</v>
      </c>
      <c r="G54" s="107"/>
    </row>
    <row r="55" spans="1:7" ht="16.5" x14ac:dyDescent="0.25">
      <c r="A55" s="114"/>
      <c r="B55" s="19" t="s">
        <v>115</v>
      </c>
      <c r="C55" s="104"/>
      <c r="D55" s="104"/>
      <c r="E55" s="104"/>
      <c r="F55" s="19" t="s">
        <v>116</v>
      </c>
      <c r="G55" s="107"/>
    </row>
    <row r="56" spans="1:7" ht="16.5" x14ac:dyDescent="0.25">
      <c r="A56" s="114"/>
      <c r="B56" s="19" t="s">
        <v>117</v>
      </c>
      <c r="C56" s="104"/>
      <c r="D56" s="104"/>
      <c r="E56" s="104"/>
      <c r="F56" s="19" t="s">
        <v>118</v>
      </c>
      <c r="G56" s="107"/>
    </row>
    <row r="57" spans="1:7" ht="16.5" x14ac:dyDescent="0.25">
      <c r="A57" s="114"/>
      <c r="B57" s="19" t="s">
        <v>119</v>
      </c>
      <c r="C57" s="104"/>
      <c r="D57" s="104"/>
      <c r="E57" s="104"/>
      <c r="F57" s="19" t="s">
        <v>120</v>
      </c>
      <c r="G57" s="107"/>
    </row>
    <row r="58" spans="1:7" ht="17.25" thickBot="1" x14ac:dyDescent="0.3">
      <c r="A58" s="115"/>
      <c r="B58" s="17"/>
      <c r="C58" s="111"/>
      <c r="D58" s="111"/>
      <c r="E58" s="111"/>
      <c r="F58" s="55"/>
      <c r="G58" s="108"/>
    </row>
    <row r="59" spans="1:7" ht="17.25" thickBot="1" x14ac:dyDescent="0.3">
      <c r="A59" s="18"/>
      <c r="B59" s="163" t="s">
        <v>121</v>
      </c>
      <c r="C59" s="164"/>
      <c r="D59" s="165"/>
      <c r="E59" s="60">
        <v>88</v>
      </c>
      <c r="F59" s="55"/>
      <c r="G59" s="55"/>
    </row>
  </sheetData>
  <mergeCells count="73">
    <mergeCell ref="B59:D59"/>
    <mergeCell ref="D45:D47"/>
    <mergeCell ref="E45:E47"/>
    <mergeCell ref="G45:G47"/>
    <mergeCell ref="A48:A58"/>
    <mergeCell ref="C48:C58"/>
    <mergeCell ref="D48:D58"/>
    <mergeCell ref="E48:E58"/>
    <mergeCell ref="G48:G58"/>
    <mergeCell ref="A38:A47"/>
    <mergeCell ref="C38:C41"/>
    <mergeCell ref="D38:D41"/>
    <mergeCell ref="E38:E41"/>
    <mergeCell ref="G38:G41"/>
    <mergeCell ref="C42:C44"/>
    <mergeCell ref="D42:D44"/>
    <mergeCell ref="E42:E44"/>
    <mergeCell ref="G42:G44"/>
    <mergeCell ref="C45:C47"/>
    <mergeCell ref="C33:C34"/>
    <mergeCell ref="D33:D34"/>
    <mergeCell ref="E33:E34"/>
    <mergeCell ref="F33:F34"/>
    <mergeCell ref="G33:G34"/>
    <mergeCell ref="C35:C37"/>
    <mergeCell ref="D35:D37"/>
    <mergeCell ref="E35:E37"/>
    <mergeCell ref="G35:G37"/>
    <mergeCell ref="C25:C27"/>
    <mergeCell ref="D25:D27"/>
    <mergeCell ref="E25:E27"/>
    <mergeCell ref="G25:G27"/>
    <mergeCell ref="A28:A37"/>
    <mergeCell ref="C28:C30"/>
    <mergeCell ref="D28:D30"/>
    <mergeCell ref="E28:E30"/>
    <mergeCell ref="G28:G30"/>
    <mergeCell ref="C31:C32"/>
    <mergeCell ref="D31:D32"/>
    <mergeCell ref="E31:E32"/>
    <mergeCell ref="G31:G32"/>
    <mergeCell ref="A10:A27"/>
    <mergeCell ref="E15:E17"/>
    <mergeCell ref="G15:G17"/>
    <mergeCell ref="C22:C24"/>
    <mergeCell ref="D22:D24"/>
    <mergeCell ref="E22:E24"/>
    <mergeCell ref="C18:C21"/>
    <mergeCell ref="D18:D21"/>
    <mergeCell ref="E18:E21"/>
    <mergeCell ref="G18:G21"/>
    <mergeCell ref="G7:G9"/>
    <mergeCell ref="C10:C12"/>
    <mergeCell ref="D10:D12"/>
    <mergeCell ref="E10:E12"/>
    <mergeCell ref="G10:G12"/>
    <mergeCell ref="C13:C14"/>
    <mergeCell ref="D13:D14"/>
    <mergeCell ref="E13:E14"/>
    <mergeCell ref="F13:F14"/>
    <mergeCell ref="G13:G14"/>
    <mergeCell ref="C15:C17"/>
    <mergeCell ref="D15:D17"/>
    <mergeCell ref="B1:B3"/>
    <mergeCell ref="G1:G3"/>
    <mergeCell ref="A4:A9"/>
    <mergeCell ref="C4:C6"/>
    <mergeCell ref="D4:D6"/>
    <mergeCell ref="E4:E6"/>
    <mergeCell ref="G4:G6"/>
    <mergeCell ref="C7:C9"/>
    <mergeCell ref="D7:D9"/>
    <mergeCell ref="E7:E9"/>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49733D-A5D8-4EC3-876C-F12C0EF02B66}">
  <dimension ref="A1:G65"/>
  <sheetViews>
    <sheetView topLeftCell="A27" zoomScale="70" zoomScaleNormal="70" workbookViewId="0">
      <selection activeCell="B44" sqref="B44"/>
    </sheetView>
  </sheetViews>
  <sheetFormatPr defaultRowHeight="15" x14ac:dyDescent="0.25"/>
  <cols>
    <col min="1" max="1" width="7.28515625" bestFit="1" customWidth="1"/>
    <col min="2" max="2" width="109" customWidth="1"/>
    <col min="3" max="3" width="11.85546875" bestFit="1" customWidth="1"/>
    <col min="4" max="4" width="9.42578125" bestFit="1" customWidth="1"/>
    <col min="5" max="5" width="7.85546875" bestFit="1" customWidth="1"/>
    <col min="6" max="6" width="234.7109375" bestFit="1" customWidth="1"/>
    <col min="7" max="7" width="128.5703125" bestFit="1" customWidth="1"/>
  </cols>
  <sheetData>
    <row r="1" spans="1:7" ht="17.25" x14ac:dyDescent="0.25">
      <c r="A1" s="63" t="s">
        <v>0</v>
      </c>
      <c r="B1" s="184" t="s">
        <v>1</v>
      </c>
      <c r="C1" s="64" t="s">
        <v>2</v>
      </c>
      <c r="D1" s="64" t="s">
        <v>3</v>
      </c>
      <c r="E1" s="64" t="s">
        <v>0</v>
      </c>
      <c r="F1" s="64" t="s">
        <v>4</v>
      </c>
      <c r="G1" s="64" t="s">
        <v>5</v>
      </c>
    </row>
    <row r="2" spans="1:7" ht="17.25" x14ac:dyDescent="0.25">
      <c r="A2" s="65" t="s">
        <v>6</v>
      </c>
      <c r="B2" s="185"/>
      <c r="C2" s="66" t="s">
        <v>7</v>
      </c>
      <c r="D2" s="66" t="s">
        <v>8</v>
      </c>
      <c r="E2" s="66" t="s">
        <v>9</v>
      </c>
      <c r="F2" s="66" t="s">
        <v>10</v>
      </c>
      <c r="G2" s="66" t="s">
        <v>11</v>
      </c>
    </row>
    <row r="3" spans="1:7" ht="18" thickBot="1" x14ac:dyDescent="0.3">
      <c r="A3" s="39"/>
      <c r="B3" s="186"/>
      <c r="C3" s="67" t="s">
        <v>12</v>
      </c>
      <c r="D3" s="67" t="s">
        <v>12</v>
      </c>
      <c r="E3" s="67" t="s">
        <v>13</v>
      </c>
      <c r="F3" s="41"/>
      <c r="G3" s="41"/>
    </row>
    <row r="4" spans="1:7" ht="22.5" x14ac:dyDescent="0.25">
      <c r="A4" s="166" t="s">
        <v>14</v>
      </c>
      <c r="B4" s="68" t="s">
        <v>15</v>
      </c>
      <c r="C4" s="169">
        <v>2</v>
      </c>
      <c r="D4" s="169">
        <v>2</v>
      </c>
      <c r="E4" s="169">
        <v>4</v>
      </c>
      <c r="F4" s="69" t="s">
        <v>924</v>
      </c>
      <c r="G4" s="70" t="s">
        <v>17</v>
      </c>
    </row>
    <row r="5" spans="1:7" ht="22.5" x14ac:dyDescent="0.25">
      <c r="A5" s="167"/>
      <c r="B5" s="68" t="s">
        <v>122</v>
      </c>
      <c r="C5" s="170"/>
      <c r="D5" s="170"/>
      <c r="E5" s="170"/>
      <c r="F5" s="69" t="s">
        <v>632</v>
      </c>
      <c r="G5" s="70" t="s">
        <v>47</v>
      </c>
    </row>
    <row r="6" spans="1:7" ht="22.5" x14ac:dyDescent="0.25">
      <c r="A6" s="167"/>
      <c r="B6" s="49" t="s">
        <v>923</v>
      </c>
      <c r="C6" s="170"/>
      <c r="D6" s="170"/>
      <c r="E6" s="170"/>
      <c r="F6" s="69" t="s">
        <v>633</v>
      </c>
      <c r="G6" s="15"/>
    </row>
    <row r="7" spans="1:7" ht="23.25" thickBot="1" x14ac:dyDescent="0.3">
      <c r="A7" s="167"/>
      <c r="B7" s="17"/>
      <c r="C7" s="179"/>
      <c r="D7" s="179"/>
      <c r="E7" s="179"/>
      <c r="F7" s="71" t="s">
        <v>925</v>
      </c>
      <c r="G7" s="17"/>
    </row>
    <row r="8" spans="1:7" ht="22.5" x14ac:dyDescent="0.25">
      <c r="A8" s="167"/>
      <c r="B8" s="68" t="s">
        <v>127</v>
      </c>
      <c r="C8" s="178">
        <v>2</v>
      </c>
      <c r="D8" s="178">
        <v>5</v>
      </c>
      <c r="E8" s="178">
        <v>10</v>
      </c>
      <c r="F8" s="69" t="s">
        <v>924</v>
      </c>
      <c r="G8" s="70" t="s">
        <v>17</v>
      </c>
    </row>
    <row r="9" spans="1:7" ht="22.5" x14ac:dyDescent="0.25">
      <c r="A9" s="167"/>
      <c r="B9" s="49" t="s">
        <v>926</v>
      </c>
      <c r="C9" s="170"/>
      <c r="D9" s="170"/>
      <c r="E9" s="170"/>
      <c r="F9" s="69" t="s">
        <v>632</v>
      </c>
      <c r="G9" s="70" t="s">
        <v>47</v>
      </c>
    </row>
    <row r="10" spans="1:7" ht="23.25" thickBot="1" x14ac:dyDescent="0.3">
      <c r="A10" s="168"/>
      <c r="B10" s="72"/>
      <c r="C10" s="179"/>
      <c r="D10" s="179"/>
      <c r="E10" s="179"/>
      <c r="F10" s="71" t="s">
        <v>636</v>
      </c>
      <c r="G10" s="17"/>
    </row>
    <row r="11" spans="1:7" ht="17.25" x14ac:dyDescent="0.25">
      <c r="A11" s="166" t="s">
        <v>34</v>
      </c>
      <c r="B11" s="68" t="s">
        <v>35</v>
      </c>
      <c r="C11" s="178">
        <v>1</v>
      </c>
      <c r="D11" s="178">
        <v>3</v>
      </c>
      <c r="E11" s="178">
        <v>3</v>
      </c>
      <c r="F11" s="73" t="s">
        <v>130</v>
      </c>
      <c r="G11" s="180" t="s">
        <v>17</v>
      </c>
    </row>
    <row r="12" spans="1:7" ht="17.25" x14ac:dyDescent="0.25">
      <c r="A12" s="167"/>
      <c r="B12" s="68" t="s">
        <v>37</v>
      </c>
      <c r="C12" s="170"/>
      <c r="D12" s="170"/>
      <c r="E12" s="170"/>
      <c r="F12" s="73" t="s">
        <v>131</v>
      </c>
      <c r="G12" s="167"/>
    </row>
    <row r="13" spans="1:7" ht="18" thickBot="1" x14ac:dyDescent="0.3">
      <c r="A13" s="167"/>
      <c r="B13" s="74" t="s">
        <v>39</v>
      </c>
      <c r="C13" s="179"/>
      <c r="D13" s="179"/>
      <c r="E13" s="179"/>
      <c r="F13" s="17"/>
      <c r="G13" s="181"/>
    </row>
    <row r="14" spans="1:7" ht="17.25" x14ac:dyDescent="0.25">
      <c r="A14" s="167"/>
      <c r="B14" s="68" t="s">
        <v>40</v>
      </c>
      <c r="C14" s="178">
        <v>1</v>
      </c>
      <c r="D14" s="178">
        <v>3</v>
      </c>
      <c r="E14" s="178">
        <v>3</v>
      </c>
      <c r="F14" s="182" t="s">
        <v>637</v>
      </c>
      <c r="G14" s="180" t="s">
        <v>17</v>
      </c>
    </row>
    <row r="15" spans="1:7" ht="18" thickBot="1" x14ac:dyDescent="0.3">
      <c r="A15" s="167"/>
      <c r="B15" s="74" t="s">
        <v>42</v>
      </c>
      <c r="C15" s="179"/>
      <c r="D15" s="179"/>
      <c r="E15" s="179"/>
      <c r="F15" s="183"/>
      <c r="G15" s="181"/>
    </row>
    <row r="16" spans="1:7" ht="17.25" x14ac:dyDescent="0.25">
      <c r="A16" s="167"/>
      <c r="B16" s="68" t="s">
        <v>133</v>
      </c>
      <c r="C16" s="178">
        <v>1</v>
      </c>
      <c r="D16" s="178">
        <v>3</v>
      </c>
      <c r="E16" s="178">
        <v>3</v>
      </c>
      <c r="F16" s="73" t="s">
        <v>927</v>
      </c>
      <c r="G16" s="180" t="s">
        <v>17</v>
      </c>
    </row>
    <row r="17" spans="1:7" ht="17.25" x14ac:dyDescent="0.25">
      <c r="A17" s="167"/>
      <c r="B17" s="49" t="s">
        <v>638</v>
      </c>
      <c r="C17" s="170"/>
      <c r="D17" s="170"/>
      <c r="E17" s="170"/>
      <c r="F17" s="49" t="s">
        <v>928</v>
      </c>
      <c r="G17" s="167"/>
    </row>
    <row r="18" spans="1:7" ht="18" thickBot="1" x14ac:dyDescent="0.3">
      <c r="A18" s="167"/>
      <c r="B18" s="72"/>
      <c r="C18" s="179"/>
      <c r="D18" s="179"/>
      <c r="E18" s="179"/>
      <c r="F18" s="17"/>
      <c r="G18" s="181"/>
    </row>
    <row r="19" spans="1:7" ht="17.25" x14ac:dyDescent="0.25">
      <c r="A19" s="167"/>
      <c r="B19" s="68" t="s">
        <v>137</v>
      </c>
      <c r="C19" s="178">
        <v>1</v>
      </c>
      <c r="D19" s="178">
        <v>4</v>
      </c>
      <c r="E19" s="178">
        <v>4</v>
      </c>
      <c r="F19" s="49" t="s">
        <v>644</v>
      </c>
      <c r="G19" s="180" t="s">
        <v>47</v>
      </c>
    </row>
    <row r="20" spans="1:7" ht="17.25" x14ac:dyDescent="0.25">
      <c r="A20" s="167"/>
      <c r="B20" s="49" t="s">
        <v>641</v>
      </c>
      <c r="C20" s="170"/>
      <c r="D20" s="170"/>
      <c r="E20" s="170"/>
      <c r="F20" s="49" t="s">
        <v>645</v>
      </c>
      <c r="G20" s="167"/>
    </row>
    <row r="21" spans="1:7" ht="17.25" x14ac:dyDescent="0.25">
      <c r="A21" s="167"/>
      <c r="B21" s="49" t="s">
        <v>642</v>
      </c>
      <c r="C21" s="170"/>
      <c r="D21" s="170"/>
      <c r="E21" s="170"/>
      <c r="F21" s="49" t="s">
        <v>646</v>
      </c>
      <c r="G21" s="167"/>
    </row>
    <row r="22" spans="1:7" ht="18" thickBot="1" x14ac:dyDescent="0.3">
      <c r="A22" s="167"/>
      <c r="B22" s="50" t="s">
        <v>929</v>
      </c>
      <c r="C22" s="179"/>
      <c r="D22" s="179"/>
      <c r="E22" s="179"/>
      <c r="F22" s="17"/>
      <c r="G22" s="181"/>
    </row>
    <row r="23" spans="1:7" ht="17.25" x14ac:dyDescent="0.25">
      <c r="A23" s="167"/>
      <c r="B23" s="68" t="s">
        <v>140</v>
      </c>
      <c r="C23" s="178">
        <v>1</v>
      </c>
      <c r="D23" s="178">
        <v>2</v>
      </c>
      <c r="E23" s="178">
        <v>2</v>
      </c>
      <c r="F23" s="49" t="s">
        <v>649</v>
      </c>
      <c r="G23" s="70" t="s">
        <v>17</v>
      </c>
    </row>
    <row r="24" spans="1:7" ht="17.25" x14ac:dyDescent="0.25">
      <c r="A24" s="167"/>
      <c r="B24" s="49" t="s">
        <v>930</v>
      </c>
      <c r="C24" s="170"/>
      <c r="D24" s="170"/>
      <c r="E24" s="170"/>
      <c r="F24" s="49" t="s">
        <v>931</v>
      </c>
      <c r="G24" s="70" t="s">
        <v>47</v>
      </c>
    </row>
    <row r="25" spans="1:7" ht="18" thickBot="1" x14ac:dyDescent="0.3">
      <c r="A25" s="167"/>
      <c r="B25" s="75"/>
      <c r="C25" s="171"/>
      <c r="D25" s="171"/>
      <c r="E25" s="171"/>
      <c r="F25" s="75" t="s">
        <v>651</v>
      </c>
      <c r="G25" s="25"/>
    </row>
    <row r="26" spans="1:7" ht="17.25" x14ac:dyDescent="0.25">
      <c r="A26" s="167"/>
      <c r="B26" s="68" t="s">
        <v>232</v>
      </c>
      <c r="C26" s="169">
        <v>1</v>
      </c>
      <c r="D26" s="169">
        <v>2</v>
      </c>
      <c r="E26" s="169">
        <v>2</v>
      </c>
      <c r="F26" s="49" t="s">
        <v>654</v>
      </c>
      <c r="G26" s="166" t="s">
        <v>47</v>
      </c>
    </row>
    <row r="27" spans="1:7" ht="17.25" x14ac:dyDescent="0.25">
      <c r="A27" s="167"/>
      <c r="B27" s="49" t="s">
        <v>932</v>
      </c>
      <c r="C27" s="170"/>
      <c r="D27" s="170"/>
      <c r="E27" s="170"/>
      <c r="F27" s="49" t="s">
        <v>933</v>
      </c>
      <c r="G27" s="167"/>
    </row>
    <row r="28" spans="1:7" ht="18" thickBot="1" x14ac:dyDescent="0.3">
      <c r="A28" s="168"/>
      <c r="B28" s="75" t="s">
        <v>934</v>
      </c>
      <c r="C28" s="171"/>
      <c r="D28" s="171"/>
      <c r="E28" s="171"/>
      <c r="F28" s="25"/>
      <c r="G28" s="168"/>
    </row>
    <row r="29" spans="1:7" ht="17.25" x14ac:dyDescent="0.25">
      <c r="A29" s="166" t="s">
        <v>81</v>
      </c>
      <c r="B29" s="68" t="s">
        <v>150</v>
      </c>
      <c r="C29" s="169">
        <v>2</v>
      </c>
      <c r="D29" s="169">
        <v>5</v>
      </c>
      <c r="E29" s="169">
        <v>10</v>
      </c>
      <c r="F29" s="49" t="s">
        <v>935</v>
      </c>
      <c r="G29" s="166" t="s">
        <v>936</v>
      </c>
    </row>
    <row r="30" spans="1:7" ht="17.25" x14ac:dyDescent="0.25">
      <c r="A30" s="167"/>
      <c r="B30" s="68" t="s">
        <v>325</v>
      </c>
      <c r="C30" s="170"/>
      <c r="D30" s="170"/>
      <c r="E30" s="170"/>
      <c r="F30" s="49" t="s">
        <v>658</v>
      </c>
      <c r="G30" s="167"/>
    </row>
    <row r="31" spans="1:7" ht="18" thickBot="1" x14ac:dyDescent="0.3">
      <c r="A31" s="167"/>
      <c r="B31" s="50" t="s">
        <v>937</v>
      </c>
      <c r="C31" s="179"/>
      <c r="D31" s="179"/>
      <c r="E31" s="179"/>
      <c r="F31" s="50" t="s">
        <v>938</v>
      </c>
      <c r="G31" s="181"/>
    </row>
    <row r="32" spans="1:7" ht="17.25" x14ac:dyDescent="0.25">
      <c r="A32" s="167"/>
      <c r="B32" s="68" t="s">
        <v>157</v>
      </c>
      <c r="C32" s="178">
        <v>2</v>
      </c>
      <c r="D32" s="178">
        <v>3</v>
      </c>
      <c r="E32" s="178">
        <v>6</v>
      </c>
      <c r="F32" s="49" t="s">
        <v>939</v>
      </c>
      <c r="G32" s="180" t="s">
        <v>47</v>
      </c>
    </row>
    <row r="33" spans="1:7" ht="18" thickBot="1" x14ac:dyDescent="0.3">
      <c r="A33" s="167"/>
      <c r="B33" s="50" t="s">
        <v>940</v>
      </c>
      <c r="C33" s="179"/>
      <c r="D33" s="179"/>
      <c r="E33" s="179"/>
      <c r="F33" s="50" t="s">
        <v>941</v>
      </c>
      <c r="G33" s="181"/>
    </row>
    <row r="34" spans="1:7" ht="17.25" x14ac:dyDescent="0.25">
      <c r="A34" s="167"/>
      <c r="B34" s="68" t="s">
        <v>598</v>
      </c>
      <c r="C34" s="178">
        <v>1</v>
      </c>
      <c r="D34" s="178">
        <v>4</v>
      </c>
      <c r="E34" s="178">
        <v>4</v>
      </c>
      <c r="F34" s="49" t="s">
        <v>942</v>
      </c>
      <c r="G34" s="180" t="s">
        <v>17</v>
      </c>
    </row>
    <row r="35" spans="1:7" ht="17.25" x14ac:dyDescent="0.25">
      <c r="A35" s="167"/>
      <c r="B35" s="49" t="s">
        <v>664</v>
      </c>
      <c r="C35" s="170"/>
      <c r="D35" s="170"/>
      <c r="E35" s="170"/>
      <c r="F35" s="49" t="s">
        <v>943</v>
      </c>
      <c r="G35" s="167"/>
    </row>
    <row r="36" spans="1:7" ht="18" thickBot="1" x14ac:dyDescent="0.3">
      <c r="A36" s="167"/>
      <c r="B36" s="50" t="s">
        <v>944</v>
      </c>
      <c r="C36" s="179"/>
      <c r="D36" s="179"/>
      <c r="E36" s="179"/>
      <c r="F36" s="50" t="s">
        <v>668</v>
      </c>
      <c r="G36" s="181"/>
    </row>
    <row r="37" spans="1:7" ht="17.25" x14ac:dyDescent="0.25">
      <c r="A37" s="167"/>
      <c r="B37" s="68" t="s">
        <v>432</v>
      </c>
      <c r="C37" s="178">
        <v>1</v>
      </c>
      <c r="D37" s="178">
        <v>4</v>
      </c>
      <c r="E37" s="178">
        <v>4</v>
      </c>
      <c r="F37" s="73" t="s">
        <v>77</v>
      </c>
      <c r="G37" s="180" t="s">
        <v>47</v>
      </c>
    </row>
    <row r="38" spans="1:7" ht="17.25" x14ac:dyDescent="0.25">
      <c r="A38" s="167"/>
      <c r="B38" s="49" t="s">
        <v>945</v>
      </c>
      <c r="C38" s="170"/>
      <c r="D38" s="170"/>
      <c r="E38" s="170"/>
      <c r="F38" s="73" t="s">
        <v>946</v>
      </c>
      <c r="G38" s="167"/>
    </row>
    <row r="39" spans="1:7" ht="18" thickBot="1" x14ac:dyDescent="0.3">
      <c r="A39" s="168"/>
      <c r="B39" s="50" t="s">
        <v>670</v>
      </c>
      <c r="C39" s="179"/>
      <c r="D39" s="179"/>
      <c r="E39" s="179"/>
      <c r="F39" s="17"/>
      <c r="G39" s="181"/>
    </row>
    <row r="40" spans="1:7" ht="17.25" x14ac:dyDescent="0.25">
      <c r="A40" s="175"/>
      <c r="B40" s="68" t="s">
        <v>606</v>
      </c>
      <c r="C40" s="178">
        <v>3</v>
      </c>
      <c r="D40" s="178">
        <v>4</v>
      </c>
      <c r="E40" s="178">
        <v>12</v>
      </c>
      <c r="F40" s="73" t="s">
        <v>611</v>
      </c>
      <c r="G40" s="180" t="s">
        <v>47</v>
      </c>
    </row>
    <row r="41" spans="1:7" ht="17.25" x14ac:dyDescent="0.25">
      <c r="A41" s="176"/>
      <c r="B41" s="49" t="s">
        <v>672</v>
      </c>
      <c r="C41" s="170"/>
      <c r="D41" s="170"/>
      <c r="E41" s="170"/>
      <c r="F41" s="73" t="s">
        <v>612</v>
      </c>
      <c r="G41" s="167"/>
    </row>
    <row r="42" spans="1:7" ht="17.25" x14ac:dyDescent="0.25">
      <c r="A42" s="176"/>
      <c r="B42" s="49" t="s">
        <v>673</v>
      </c>
      <c r="C42" s="170"/>
      <c r="D42" s="170"/>
      <c r="E42" s="170"/>
      <c r="F42" s="73" t="s">
        <v>613</v>
      </c>
      <c r="G42" s="167"/>
    </row>
    <row r="43" spans="1:7" ht="18" thickBot="1" x14ac:dyDescent="0.3">
      <c r="A43" s="177"/>
      <c r="B43" s="50"/>
      <c r="C43" s="179"/>
      <c r="D43" s="179"/>
      <c r="E43" s="179"/>
      <c r="F43" s="77" t="s">
        <v>675</v>
      </c>
      <c r="G43" s="181"/>
    </row>
    <row r="44" spans="1:7" ht="17.25" x14ac:dyDescent="0.25">
      <c r="A44" s="166" t="s">
        <v>173</v>
      </c>
      <c r="B44" s="68" t="s">
        <v>174</v>
      </c>
      <c r="C44" s="178">
        <v>1</v>
      </c>
      <c r="D44" s="178">
        <v>2</v>
      </c>
      <c r="E44" s="178">
        <v>2</v>
      </c>
      <c r="F44" s="49" t="s">
        <v>947</v>
      </c>
      <c r="G44" s="180" t="s">
        <v>47</v>
      </c>
    </row>
    <row r="45" spans="1:7" ht="17.25" x14ac:dyDescent="0.25">
      <c r="A45" s="167"/>
      <c r="B45" s="68" t="s">
        <v>84</v>
      </c>
      <c r="C45" s="170"/>
      <c r="D45" s="170"/>
      <c r="E45" s="170"/>
      <c r="F45" s="49" t="s">
        <v>679</v>
      </c>
      <c r="G45" s="167"/>
    </row>
    <row r="46" spans="1:7" ht="17.25" x14ac:dyDescent="0.25">
      <c r="A46" s="167"/>
      <c r="B46" s="49" t="s">
        <v>948</v>
      </c>
      <c r="C46" s="170"/>
      <c r="D46" s="170"/>
      <c r="E46" s="170"/>
      <c r="F46" s="73"/>
      <c r="G46" s="167"/>
    </row>
    <row r="47" spans="1:7" ht="18" thickBot="1" x14ac:dyDescent="0.3">
      <c r="A47" s="167"/>
      <c r="B47" s="75" t="s">
        <v>949</v>
      </c>
      <c r="C47" s="171"/>
      <c r="D47" s="171"/>
      <c r="E47" s="171"/>
      <c r="F47" s="25"/>
      <c r="G47" s="168"/>
    </row>
    <row r="48" spans="1:7" ht="17.25" x14ac:dyDescent="0.25">
      <c r="A48" s="167"/>
      <c r="B48" s="68" t="s">
        <v>88</v>
      </c>
      <c r="C48" s="169">
        <v>1</v>
      </c>
      <c r="D48" s="169">
        <v>2</v>
      </c>
      <c r="E48" s="169">
        <v>2</v>
      </c>
      <c r="F48" s="49" t="s">
        <v>950</v>
      </c>
      <c r="G48" s="166" t="s">
        <v>47</v>
      </c>
    </row>
    <row r="49" spans="1:7" ht="17.25" x14ac:dyDescent="0.25">
      <c r="A49" s="167"/>
      <c r="B49" s="49" t="s">
        <v>951</v>
      </c>
      <c r="C49" s="170"/>
      <c r="D49" s="170"/>
      <c r="E49" s="170"/>
      <c r="F49" s="49" t="s">
        <v>683</v>
      </c>
      <c r="G49" s="167"/>
    </row>
    <row r="50" spans="1:7" ht="18" thickBot="1" x14ac:dyDescent="0.3">
      <c r="A50" s="167"/>
      <c r="B50" s="75" t="s">
        <v>681</v>
      </c>
      <c r="C50" s="171"/>
      <c r="D50" s="171"/>
      <c r="E50" s="171"/>
      <c r="F50" s="25"/>
      <c r="G50" s="168"/>
    </row>
    <row r="51" spans="1:7" ht="17.25" x14ac:dyDescent="0.25">
      <c r="A51" s="167"/>
      <c r="B51" s="68" t="s">
        <v>93</v>
      </c>
      <c r="C51" s="169">
        <v>1</v>
      </c>
      <c r="D51" s="169">
        <v>4</v>
      </c>
      <c r="E51" s="169">
        <v>4</v>
      </c>
      <c r="F51" s="49" t="s">
        <v>952</v>
      </c>
      <c r="G51" s="166" t="s">
        <v>183</v>
      </c>
    </row>
    <row r="52" spans="1:7" ht="17.25" x14ac:dyDescent="0.25">
      <c r="A52" s="167"/>
      <c r="B52" s="49" t="s">
        <v>953</v>
      </c>
      <c r="C52" s="170"/>
      <c r="D52" s="170"/>
      <c r="E52" s="170"/>
      <c r="F52" s="49" t="s">
        <v>687</v>
      </c>
      <c r="G52" s="167"/>
    </row>
    <row r="53" spans="1:7" ht="18" thickBot="1" x14ac:dyDescent="0.3">
      <c r="A53" s="168"/>
      <c r="B53" s="75" t="s">
        <v>954</v>
      </c>
      <c r="C53" s="171"/>
      <c r="D53" s="171"/>
      <c r="E53" s="171"/>
      <c r="F53" s="25"/>
      <c r="G53" s="168"/>
    </row>
    <row r="54" spans="1:7" ht="17.25" x14ac:dyDescent="0.25">
      <c r="A54" s="166" t="s">
        <v>184</v>
      </c>
      <c r="B54" s="68" t="s">
        <v>185</v>
      </c>
      <c r="C54" s="169">
        <v>1</v>
      </c>
      <c r="D54" s="169">
        <v>5</v>
      </c>
      <c r="E54" s="169">
        <v>5</v>
      </c>
      <c r="F54" s="73" t="s">
        <v>697</v>
      </c>
      <c r="G54" s="166" t="s">
        <v>102</v>
      </c>
    </row>
    <row r="55" spans="1:7" ht="17.25" x14ac:dyDescent="0.25">
      <c r="A55" s="167"/>
      <c r="B55" s="73" t="s">
        <v>688</v>
      </c>
      <c r="C55" s="170"/>
      <c r="D55" s="170"/>
      <c r="E55" s="170"/>
      <c r="F55" s="73" t="s">
        <v>698</v>
      </c>
      <c r="G55" s="167"/>
    </row>
    <row r="56" spans="1:7" ht="17.25" x14ac:dyDescent="0.25">
      <c r="A56" s="167"/>
      <c r="B56" s="73" t="s">
        <v>689</v>
      </c>
      <c r="C56" s="170"/>
      <c r="D56" s="170"/>
      <c r="E56" s="170"/>
      <c r="F56" s="73" t="s">
        <v>699</v>
      </c>
      <c r="G56" s="167"/>
    </row>
    <row r="57" spans="1:7" ht="17.25" x14ac:dyDescent="0.25">
      <c r="A57" s="167"/>
      <c r="B57" s="73" t="s">
        <v>690</v>
      </c>
      <c r="C57" s="170"/>
      <c r="D57" s="170"/>
      <c r="E57" s="170"/>
      <c r="F57" s="73" t="s">
        <v>700</v>
      </c>
      <c r="G57" s="167"/>
    </row>
    <row r="58" spans="1:7" ht="17.25" x14ac:dyDescent="0.25">
      <c r="A58" s="167"/>
      <c r="B58" s="73" t="s">
        <v>691</v>
      </c>
      <c r="C58" s="170"/>
      <c r="D58" s="170"/>
      <c r="E58" s="170"/>
      <c r="F58" s="73" t="s">
        <v>701</v>
      </c>
      <c r="G58" s="167"/>
    </row>
    <row r="59" spans="1:7" ht="17.25" x14ac:dyDescent="0.25">
      <c r="A59" s="167"/>
      <c r="B59" s="73" t="s">
        <v>692</v>
      </c>
      <c r="C59" s="170"/>
      <c r="D59" s="170"/>
      <c r="E59" s="170"/>
      <c r="F59" s="73" t="s">
        <v>702</v>
      </c>
      <c r="G59" s="167"/>
    </row>
    <row r="60" spans="1:7" ht="17.25" x14ac:dyDescent="0.25">
      <c r="A60" s="167"/>
      <c r="B60" s="73" t="s">
        <v>693</v>
      </c>
      <c r="C60" s="170"/>
      <c r="D60" s="170"/>
      <c r="E60" s="170"/>
      <c r="F60" s="73" t="s">
        <v>703</v>
      </c>
      <c r="G60" s="167"/>
    </row>
    <row r="61" spans="1:7" ht="17.25" x14ac:dyDescent="0.25">
      <c r="A61" s="167"/>
      <c r="B61" s="73" t="s">
        <v>694</v>
      </c>
      <c r="C61" s="170"/>
      <c r="D61" s="170"/>
      <c r="E61" s="170"/>
      <c r="F61" s="73" t="s">
        <v>704</v>
      </c>
      <c r="G61" s="167"/>
    </row>
    <row r="62" spans="1:7" ht="17.25" x14ac:dyDescent="0.25">
      <c r="A62" s="167"/>
      <c r="B62" s="73" t="s">
        <v>695</v>
      </c>
      <c r="C62" s="170"/>
      <c r="D62" s="170"/>
      <c r="E62" s="170"/>
      <c r="F62" s="73" t="s">
        <v>705</v>
      </c>
      <c r="G62" s="167"/>
    </row>
    <row r="63" spans="1:7" ht="17.25" x14ac:dyDescent="0.25">
      <c r="A63" s="167"/>
      <c r="B63" s="73" t="s">
        <v>696</v>
      </c>
      <c r="C63" s="170"/>
      <c r="D63" s="170"/>
      <c r="E63" s="170"/>
      <c r="F63" s="73" t="s">
        <v>706</v>
      </c>
      <c r="G63" s="167"/>
    </row>
    <row r="64" spans="1:7" ht="18" thickBot="1" x14ac:dyDescent="0.3">
      <c r="A64" s="168"/>
      <c r="B64" s="25"/>
      <c r="C64" s="171"/>
      <c r="D64" s="171"/>
      <c r="E64" s="171"/>
      <c r="F64" s="78"/>
      <c r="G64" s="168"/>
    </row>
    <row r="65" spans="1:7" ht="18" thickBot="1" x14ac:dyDescent="0.3">
      <c r="A65" s="76"/>
      <c r="B65" s="172" t="s">
        <v>121</v>
      </c>
      <c r="C65" s="173"/>
      <c r="D65" s="174"/>
      <c r="E65" s="79">
        <f>SUM(E4:E64)</f>
        <v>80</v>
      </c>
      <c r="F65" s="80"/>
      <c r="G65" s="81"/>
    </row>
  </sheetData>
  <mergeCells count="74">
    <mergeCell ref="A4:A10"/>
    <mergeCell ref="C4:C7"/>
    <mergeCell ref="D4:D7"/>
    <mergeCell ref="E4:E7"/>
    <mergeCell ref="C8:C10"/>
    <mergeCell ref="D8:D10"/>
    <mergeCell ref="E8:E10"/>
    <mergeCell ref="D14:D15"/>
    <mergeCell ref="E14:E15"/>
    <mergeCell ref="F14:F15"/>
    <mergeCell ref="G14:G15"/>
    <mergeCell ref="B1:B3"/>
    <mergeCell ref="C16:C18"/>
    <mergeCell ref="D16:D18"/>
    <mergeCell ref="E16:E18"/>
    <mergeCell ref="G16:G18"/>
    <mergeCell ref="C19:C22"/>
    <mergeCell ref="D19:D22"/>
    <mergeCell ref="E19:E22"/>
    <mergeCell ref="G19:G22"/>
    <mergeCell ref="C23:C25"/>
    <mergeCell ref="D23:D25"/>
    <mergeCell ref="E23:E25"/>
    <mergeCell ref="C26:C28"/>
    <mergeCell ref="D26:D28"/>
    <mergeCell ref="E26:E28"/>
    <mergeCell ref="G26:G28"/>
    <mergeCell ref="A29:A39"/>
    <mergeCell ref="C29:C31"/>
    <mergeCell ref="D29:D31"/>
    <mergeCell ref="E29:E31"/>
    <mergeCell ref="G29:G31"/>
    <mergeCell ref="C32:C33"/>
    <mergeCell ref="D32:D33"/>
    <mergeCell ref="E32:E33"/>
    <mergeCell ref="G32:G33"/>
    <mergeCell ref="A11:A28"/>
    <mergeCell ref="C11:C13"/>
    <mergeCell ref="D11:D13"/>
    <mergeCell ref="E11:E13"/>
    <mergeCell ref="G11:G13"/>
    <mergeCell ref="C14:C15"/>
    <mergeCell ref="C34:C36"/>
    <mergeCell ref="D34:D36"/>
    <mergeCell ref="E34:E36"/>
    <mergeCell ref="G34:G36"/>
    <mergeCell ref="C37:C39"/>
    <mergeCell ref="D37:D39"/>
    <mergeCell ref="E37:E39"/>
    <mergeCell ref="G37:G39"/>
    <mergeCell ref="A44:A53"/>
    <mergeCell ref="C44:C47"/>
    <mergeCell ref="D44:D47"/>
    <mergeCell ref="E44:E47"/>
    <mergeCell ref="G44:G47"/>
    <mergeCell ref="A40:A43"/>
    <mergeCell ref="C40:C43"/>
    <mergeCell ref="D40:D43"/>
    <mergeCell ref="E40:E43"/>
    <mergeCell ref="G40:G43"/>
    <mergeCell ref="B65:D65"/>
    <mergeCell ref="C48:C50"/>
    <mergeCell ref="D48:D50"/>
    <mergeCell ref="E48:E50"/>
    <mergeCell ref="G48:G50"/>
    <mergeCell ref="C51:C53"/>
    <mergeCell ref="D51:D53"/>
    <mergeCell ref="E51:E53"/>
    <mergeCell ref="G51:G53"/>
    <mergeCell ref="A54:A64"/>
    <mergeCell ref="C54:C64"/>
    <mergeCell ref="D54:D64"/>
    <mergeCell ref="E54:E64"/>
    <mergeCell ref="G54:G64"/>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A86B45-2B63-481E-8C5F-06C9365184CF}">
  <dimension ref="A1:G62"/>
  <sheetViews>
    <sheetView tabSelected="1" topLeftCell="A23" zoomScale="70" zoomScaleNormal="70" workbookViewId="0">
      <selection activeCell="E41" sqref="E41:E61"/>
    </sheetView>
  </sheetViews>
  <sheetFormatPr defaultRowHeight="15" x14ac:dyDescent="0.25"/>
  <cols>
    <col min="1" max="1" width="6.85546875" bestFit="1" customWidth="1"/>
    <col min="2" max="2" width="153.140625" customWidth="1"/>
    <col min="3" max="3" width="11.140625" bestFit="1" customWidth="1"/>
    <col min="4" max="4" width="9" bestFit="1" customWidth="1"/>
    <col min="5" max="5" width="7.5703125" bestFit="1" customWidth="1"/>
    <col min="6" max="6" width="211.28515625" bestFit="1" customWidth="1"/>
    <col min="7" max="7" width="111.28515625" bestFit="1" customWidth="1"/>
  </cols>
  <sheetData>
    <row r="1" spans="1:7" ht="16.5" x14ac:dyDescent="0.25">
      <c r="A1" s="43" t="s">
        <v>0</v>
      </c>
      <c r="B1" s="120" t="s">
        <v>1</v>
      </c>
      <c r="C1" s="44" t="s">
        <v>2</v>
      </c>
      <c r="D1" s="44" t="s">
        <v>3</v>
      </c>
      <c r="E1" s="44" t="s">
        <v>0</v>
      </c>
      <c r="F1" s="44" t="s">
        <v>4</v>
      </c>
      <c r="G1" s="44" t="s">
        <v>5</v>
      </c>
    </row>
    <row r="2" spans="1:7" ht="16.5" x14ac:dyDescent="0.25">
      <c r="A2" s="45" t="s">
        <v>6</v>
      </c>
      <c r="B2" s="121"/>
      <c r="C2" s="46" t="s">
        <v>7</v>
      </c>
      <c r="D2" s="46" t="s">
        <v>8</v>
      </c>
      <c r="E2" s="46" t="s">
        <v>9</v>
      </c>
      <c r="F2" s="46" t="s">
        <v>10</v>
      </c>
      <c r="G2" s="46" t="s">
        <v>11</v>
      </c>
    </row>
    <row r="3" spans="1:7" ht="17.25" thickBot="1" x14ac:dyDescent="0.3">
      <c r="A3" s="39"/>
      <c r="B3" s="122"/>
      <c r="C3" s="47" t="s">
        <v>12</v>
      </c>
      <c r="D3" s="47" t="s">
        <v>12</v>
      </c>
      <c r="E3" s="47" t="s">
        <v>13</v>
      </c>
      <c r="F3" s="41"/>
      <c r="G3" s="41"/>
    </row>
    <row r="4" spans="1:7" ht="21" x14ac:dyDescent="0.25">
      <c r="A4" s="106" t="s">
        <v>14</v>
      </c>
      <c r="B4" s="8" t="s">
        <v>15</v>
      </c>
      <c r="C4" s="103">
        <v>1</v>
      </c>
      <c r="D4" s="103">
        <v>2</v>
      </c>
      <c r="E4" s="103">
        <v>2</v>
      </c>
      <c r="F4" s="9" t="s">
        <v>956</v>
      </c>
      <c r="G4" s="23" t="s">
        <v>17</v>
      </c>
    </row>
    <row r="5" spans="1:7" ht="21" x14ac:dyDescent="0.25">
      <c r="A5" s="107"/>
      <c r="B5" s="8" t="s">
        <v>122</v>
      </c>
      <c r="C5" s="104"/>
      <c r="D5" s="104"/>
      <c r="E5" s="104"/>
      <c r="F5" s="9" t="s">
        <v>125</v>
      </c>
      <c r="G5" s="23" t="s">
        <v>47</v>
      </c>
    </row>
    <row r="6" spans="1:7" ht="21" x14ac:dyDescent="0.25">
      <c r="A6" s="107"/>
      <c r="B6" s="13" t="s">
        <v>955</v>
      </c>
      <c r="C6" s="104"/>
      <c r="D6" s="104"/>
      <c r="E6" s="104"/>
      <c r="F6" s="9" t="s">
        <v>957</v>
      </c>
      <c r="G6" s="15"/>
    </row>
    <row r="7" spans="1:7" ht="21.75" thickBot="1" x14ac:dyDescent="0.3">
      <c r="A7" s="107"/>
      <c r="B7" s="17"/>
      <c r="C7" s="111"/>
      <c r="D7" s="111"/>
      <c r="E7" s="111"/>
      <c r="F7" s="42" t="s">
        <v>958</v>
      </c>
      <c r="G7" s="17"/>
    </row>
    <row r="8" spans="1:7" ht="21" x14ac:dyDescent="0.25">
      <c r="A8" s="107"/>
      <c r="B8" s="8" t="s">
        <v>127</v>
      </c>
      <c r="C8" s="109">
        <v>2</v>
      </c>
      <c r="D8" s="109">
        <v>2</v>
      </c>
      <c r="E8" s="109">
        <v>4</v>
      </c>
      <c r="F8" s="9" t="s">
        <v>956</v>
      </c>
      <c r="G8" s="23" t="s">
        <v>17</v>
      </c>
    </row>
    <row r="9" spans="1:7" ht="21" x14ac:dyDescent="0.25">
      <c r="A9" s="107"/>
      <c r="B9" s="13" t="s">
        <v>959</v>
      </c>
      <c r="C9" s="104"/>
      <c r="D9" s="104"/>
      <c r="E9" s="104"/>
      <c r="F9" s="9" t="s">
        <v>125</v>
      </c>
      <c r="G9" s="23" t="s">
        <v>47</v>
      </c>
    </row>
    <row r="10" spans="1:7" ht="21.75" thickBot="1" x14ac:dyDescent="0.3">
      <c r="A10" s="108"/>
      <c r="B10" s="20"/>
      <c r="C10" s="111"/>
      <c r="D10" s="111"/>
      <c r="E10" s="111"/>
      <c r="F10" s="42" t="s">
        <v>129</v>
      </c>
      <c r="G10" s="17"/>
    </row>
    <row r="11" spans="1:7" ht="21" x14ac:dyDescent="0.25">
      <c r="A11" s="113"/>
      <c r="B11" s="8" t="s">
        <v>960</v>
      </c>
      <c r="C11" s="109">
        <v>3</v>
      </c>
      <c r="D11" s="109">
        <v>2</v>
      </c>
      <c r="E11" s="109">
        <v>6</v>
      </c>
      <c r="F11" s="9" t="s">
        <v>962</v>
      </c>
      <c r="G11" s="23" t="s">
        <v>17</v>
      </c>
    </row>
    <row r="12" spans="1:7" ht="21.75" thickBot="1" x14ac:dyDescent="0.3">
      <c r="A12" s="115"/>
      <c r="B12" s="52" t="s">
        <v>961</v>
      </c>
      <c r="C12" s="111"/>
      <c r="D12" s="111"/>
      <c r="E12" s="111"/>
      <c r="F12" s="42" t="s">
        <v>963</v>
      </c>
      <c r="G12" s="21" t="s">
        <v>47</v>
      </c>
    </row>
    <row r="13" spans="1:7" ht="16.5" x14ac:dyDescent="0.25">
      <c r="A13" s="106" t="s">
        <v>34</v>
      </c>
      <c r="B13" s="8" t="s">
        <v>35</v>
      </c>
      <c r="C13" s="109">
        <v>1</v>
      </c>
      <c r="D13" s="109">
        <v>2</v>
      </c>
      <c r="E13" s="109">
        <v>2</v>
      </c>
      <c r="F13" s="19" t="s">
        <v>130</v>
      </c>
      <c r="G13" s="110" t="s">
        <v>17</v>
      </c>
    </row>
    <row r="14" spans="1:7" ht="16.5" x14ac:dyDescent="0.25">
      <c r="A14" s="107"/>
      <c r="B14" s="8" t="s">
        <v>37</v>
      </c>
      <c r="C14" s="104"/>
      <c r="D14" s="104"/>
      <c r="E14" s="104"/>
      <c r="F14" s="19" t="s">
        <v>131</v>
      </c>
      <c r="G14" s="107"/>
    </row>
    <row r="15" spans="1:7" ht="16.5" x14ac:dyDescent="0.25">
      <c r="A15" s="107"/>
      <c r="B15" s="11" t="s">
        <v>964</v>
      </c>
      <c r="C15" s="104"/>
      <c r="D15" s="104"/>
      <c r="E15" s="104"/>
      <c r="F15" s="15"/>
      <c r="G15" s="107"/>
    </row>
    <row r="16" spans="1:7" ht="15.75" thickBot="1" x14ac:dyDescent="0.3">
      <c r="A16" s="108"/>
      <c r="B16" s="17"/>
      <c r="C16" s="111"/>
      <c r="D16" s="111"/>
      <c r="E16" s="111"/>
      <c r="F16" s="17"/>
      <c r="G16" s="112"/>
    </row>
    <row r="17" spans="1:7" ht="16.5" x14ac:dyDescent="0.25">
      <c r="A17" s="113"/>
      <c r="B17" s="8" t="s">
        <v>40</v>
      </c>
      <c r="C17" s="109">
        <v>1</v>
      </c>
      <c r="D17" s="109">
        <v>3</v>
      </c>
      <c r="E17" s="109">
        <v>3</v>
      </c>
      <c r="F17" s="116" t="s">
        <v>132</v>
      </c>
      <c r="G17" s="110" t="s">
        <v>17</v>
      </c>
    </row>
    <row r="18" spans="1:7" ht="17.25" thickBot="1" x14ac:dyDescent="0.3">
      <c r="A18" s="115"/>
      <c r="B18" s="16" t="s">
        <v>267</v>
      </c>
      <c r="C18" s="111"/>
      <c r="D18" s="111"/>
      <c r="E18" s="111"/>
      <c r="F18" s="119"/>
      <c r="G18" s="112"/>
    </row>
    <row r="19" spans="1:7" ht="16.5" x14ac:dyDescent="0.25">
      <c r="A19" s="113"/>
      <c r="B19" s="8" t="s">
        <v>133</v>
      </c>
      <c r="C19" s="109">
        <v>1</v>
      </c>
      <c r="D19" s="109">
        <v>3</v>
      </c>
      <c r="E19" s="109">
        <v>3</v>
      </c>
      <c r="F19" s="19" t="s">
        <v>965</v>
      </c>
      <c r="G19" s="110" t="s">
        <v>17</v>
      </c>
    </row>
    <row r="20" spans="1:7" ht="16.5" x14ac:dyDescent="0.25">
      <c r="A20" s="114"/>
      <c r="B20" s="13" t="s">
        <v>134</v>
      </c>
      <c r="C20" s="104"/>
      <c r="D20" s="104"/>
      <c r="E20" s="104"/>
      <c r="F20" s="13" t="s">
        <v>966</v>
      </c>
      <c r="G20" s="107"/>
    </row>
    <row r="21" spans="1:7" ht="17.25" thickBot="1" x14ac:dyDescent="0.3">
      <c r="A21" s="115"/>
      <c r="B21" s="20"/>
      <c r="C21" s="111"/>
      <c r="D21" s="111"/>
      <c r="E21" s="111"/>
      <c r="F21" s="17"/>
      <c r="G21" s="112"/>
    </row>
    <row r="22" spans="1:7" ht="16.5" x14ac:dyDescent="0.25">
      <c r="A22" s="113"/>
      <c r="B22" s="8" t="s">
        <v>137</v>
      </c>
      <c r="C22" s="109">
        <v>1</v>
      </c>
      <c r="D22" s="109">
        <v>3</v>
      </c>
      <c r="E22" s="109">
        <v>3</v>
      </c>
      <c r="F22" s="13" t="s">
        <v>54</v>
      </c>
      <c r="G22" s="110" t="s">
        <v>47</v>
      </c>
    </row>
    <row r="23" spans="1:7" ht="16.5" x14ac:dyDescent="0.25">
      <c r="A23" s="114"/>
      <c r="B23" s="13" t="s">
        <v>55</v>
      </c>
      <c r="C23" s="104"/>
      <c r="D23" s="104"/>
      <c r="E23" s="104"/>
      <c r="F23" s="13" t="s">
        <v>56</v>
      </c>
      <c r="G23" s="107"/>
    </row>
    <row r="24" spans="1:7" ht="16.5" x14ac:dyDescent="0.25">
      <c r="A24" s="114"/>
      <c r="B24" s="13" t="s">
        <v>57</v>
      </c>
      <c r="C24" s="104"/>
      <c r="D24" s="104"/>
      <c r="E24" s="104"/>
      <c r="F24" s="13" t="s">
        <v>139</v>
      </c>
      <c r="G24" s="107"/>
    </row>
    <row r="25" spans="1:7" ht="17.25" thickBot="1" x14ac:dyDescent="0.3">
      <c r="A25" s="114"/>
      <c r="B25" s="16" t="s">
        <v>967</v>
      </c>
      <c r="C25" s="111"/>
      <c r="D25" s="111"/>
      <c r="E25" s="111"/>
      <c r="F25" s="17"/>
      <c r="G25" s="112"/>
    </row>
    <row r="26" spans="1:7" ht="16.5" x14ac:dyDescent="0.25">
      <c r="A26" s="114"/>
      <c r="B26" s="8" t="s">
        <v>968</v>
      </c>
      <c r="C26" s="109">
        <v>1</v>
      </c>
      <c r="D26" s="109">
        <v>3</v>
      </c>
      <c r="E26" s="109">
        <v>3</v>
      </c>
      <c r="F26" s="116" t="s">
        <v>148</v>
      </c>
      <c r="G26" s="110" t="s">
        <v>47</v>
      </c>
    </row>
    <row r="27" spans="1:7" ht="16.5" x14ac:dyDescent="0.25">
      <c r="A27" s="114"/>
      <c r="B27" s="13" t="s">
        <v>969</v>
      </c>
      <c r="C27" s="104"/>
      <c r="D27" s="104"/>
      <c r="E27" s="104"/>
      <c r="F27" s="117"/>
      <c r="G27" s="107"/>
    </row>
    <row r="28" spans="1:7" ht="17.25" thickBot="1" x14ac:dyDescent="0.3">
      <c r="A28" s="115"/>
      <c r="B28" s="28" t="s">
        <v>970</v>
      </c>
      <c r="C28" s="105"/>
      <c r="D28" s="105"/>
      <c r="E28" s="105"/>
      <c r="F28" s="118"/>
      <c r="G28" s="108"/>
    </row>
    <row r="29" spans="1:7" ht="16.5" x14ac:dyDescent="0.25">
      <c r="A29" s="106" t="s">
        <v>81</v>
      </c>
      <c r="B29" s="8" t="s">
        <v>150</v>
      </c>
      <c r="C29" s="103">
        <v>3</v>
      </c>
      <c r="D29" s="103">
        <v>3</v>
      </c>
      <c r="E29" s="103">
        <v>9</v>
      </c>
      <c r="F29" s="13" t="s">
        <v>973</v>
      </c>
      <c r="G29" s="106" t="s">
        <v>975</v>
      </c>
    </row>
    <row r="30" spans="1:7" ht="16.5" x14ac:dyDescent="0.25">
      <c r="A30" s="107"/>
      <c r="B30" s="8" t="s">
        <v>971</v>
      </c>
      <c r="C30" s="104"/>
      <c r="D30" s="104"/>
      <c r="E30" s="104"/>
      <c r="F30" s="13" t="s">
        <v>154</v>
      </c>
      <c r="G30" s="107"/>
    </row>
    <row r="31" spans="1:7" ht="17.25" thickBot="1" x14ac:dyDescent="0.3">
      <c r="A31" s="107"/>
      <c r="B31" s="16" t="s">
        <v>972</v>
      </c>
      <c r="C31" s="111"/>
      <c r="D31" s="111"/>
      <c r="E31" s="111"/>
      <c r="F31" s="16" t="s">
        <v>974</v>
      </c>
      <c r="G31" s="112"/>
    </row>
    <row r="32" spans="1:7" ht="16.5" x14ac:dyDescent="0.25">
      <c r="A32" s="107"/>
      <c r="B32" s="8" t="s">
        <v>598</v>
      </c>
      <c r="C32" s="109">
        <v>1</v>
      </c>
      <c r="D32" s="109">
        <v>4</v>
      </c>
      <c r="E32" s="109">
        <v>4</v>
      </c>
      <c r="F32" s="13" t="s">
        <v>978</v>
      </c>
      <c r="G32" s="110" t="s">
        <v>17</v>
      </c>
    </row>
    <row r="33" spans="1:7" ht="16.5" x14ac:dyDescent="0.25">
      <c r="A33" s="107"/>
      <c r="B33" s="13" t="s">
        <v>976</v>
      </c>
      <c r="C33" s="104"/>
      <c r="D33" s="104"/>
      <c r="E33" s="104"/>
      <c r="F33" s="13" t="s">
        <v>979</v>
      </c>
      <c r="G33" s="107"/>
    </row>
    <row r="34" spans="1:7" ht="17.25" thickBot="1" x14ac:dyDescent="0.3">
      <c r="A34" s="107"/>
      <c r="B34" s="16" t="s">
        <v>977</v>
      </c>
      <c r="C34" s="111"/>
      <c r="D34" s="111"/>
      <c r="E34" s="111"/>
      <c r="F34" s="16" t="s">
        <v>980</v>
      </c>
      <c r="G34" s="112"/>
    </row>
    <row r="35" spans="1:7" ht="16.5" x14ac:dyDescent="0.25">
      <c r="A35" s="107"/>
      <c r="B35" s="8" t="s">
        <v>432</v>
      </c>
      <c r="C35" s="109">
        <v>1</v>
      </c>
      <c r="D35" s="109">
        <v>4</v>
      </c>
      <c r="E35" s="109">
        <v>4</v>
      </c>
      <c r="F35" s="19" t="s">
        <v>77</v>
      </c>
      <c r="G35" s="110" t="s">
        <v>47</v>
      </c>
    </row>
    <row r="36" spans="1:7" ht="16.5" x14ac:dyDescent="0.25">
      <c r="A36" s="107"/>
      <c r="B36" s="13" t="s">
        <v>981</v>
      </c>
      <c r="C36" s="104"/>
      <c r="D36" s="104"/>
      <c r="E36" s="104"/>
      <c r="F36" s="19" t="s">
        <v>983</v>
      </c>
      <c r="G36" s="107"/>
    </row>
    <row r="37" spans="1:7" ht="17.25" thickBot="1" x14ac:dyDescent="0.3">
      <c r="A37" s="108"/>
      <c r="B37" s="16" t="s">
        <v>982</v>
      </c>
      <c r="C37" s="111"/>
      <c r="D37" s="111"/>
      <c r="E37" s="111"/>
      <c r="F37" s="17"/>
      <c r="G37" s="112"/>
    </row>
    <row r="38" spans="1:7" ht="16.5" x14ac:dyDescent="0.25">
      <c r="A38" s="113"/>
      <c r="B38" s="8" t="s">
        <v>140</v>
      </c>
      <c r="C38" s="109">
        <v>1</v>
      </c>
      <c r="D38" s="109">
        <v>4</v>
      </c>
      <c r="E38" s="109">
        <v>4</v>
      </c>
      <c r="F38" s="13" t="s">
        <v>143</v>
      </c>
      <c r="G38" s="23" t="s">
        <v>17</v>
      </c>
    </row>
    <row r="39" spans="1:7" ht="16.5" x14ac:dyDescent="0.25">
      <c r="A39" s="114"/>
      <c r="B39" s="13" t="s">
        <v>984</v>
      </c>
      <c r="C39" s="104"/>
      <c r="D39" s="104"/>
      <c r="E39" s="104"/>
      <c r="F39" s="13" t="s">
        <v>986</v>
      </c>
      <c r="G39" s="23" t="s">
        <v>47</v>
      </c>
    </row>
    <row r="40" spans="1:7" ht="17.25" thickBot="1" x14ac:dyDescent="0.3">
      <c r="A40" s="115"/>
      <c r="B40" s="16" t="s">
        <v>985</v>
      </c>
      <c r="C40" s="111"/>
      <c r="D40" s="111"/>
      <c r="E40" s="111"/>
      <c r="F40" s="52" t="s">
        <v>987</v>
      </c>
      <c r="G40" s="17"/>
    </row>
    <row r="41" spans="1:7" ht="16.5" x14ac:dyDescent="0.25">
      <c r="A41" s="106" t="s">
        <v>173</v>
      </c>
      <c r="B41" s="8" t="s">
        <v>174</v>
      </c>
      <c r="C41" s="109">
        <v>1</v>
      </c>
      <c r="D41" s="109">
        <v>4</v>
      </c>
      <c r="E41" s="109">
        <v>4</v>
      </c>
      <c r="F41" s="13" t="s">
        <v>990</v>
      </c>
      <c r="G41" s="110" t="s">
        <v>47</v>
      </c>
    </row>
    <row r="42" spans="1:7" ht="16.5" x14ac:dyDescent="0.25">
      <c r="A42" s="107"/>
      <c r="B42" s="8" t="s">
        <v>84</v>
      </c>
      <c r="C42" s="104"/>
      <c r="D42" s="104"/>
      <c r="E42" s="104"/>
      <c r="F42" s="19" t="s">
        <v>991</v>
      </c>
      <c r="G42" s="107"/>
    </row>
    <row r="43" spans="1:7" ht="16.5" x14ac:dyDescent="0.25">
      <c r="A43" s="107"/>
      <c r="B43" s="13" t="s">
        <v>988</v>
      </c>
      <c r="C43" s="104"/>
      <c r="D43" s="104"/>
      <c r="E43" s="104"/>
      <c r="F43" s="19"/>
      <c r="G43" s="107"/>
    </row>
    <row r="44" spans="1:7" ht="17.25" thickBot="1" x14ac:dyDescent="0.3">
      <c r="A44" s="107"/>
      <c r="B44" s="28" t="s">
        <v>989</v>
      </c>
      <c r="C44" s="105"/>
      <c r="D44" s="105"/>
      <c r="E44" s="105"/>
      <c r="F44" s="25"/>
      <c r="G44" s="108"/>
    </row>
    <row r="45" spans="1:7" ht="16.5" x14ac:dyDescent="0.25">
      <c r="A45" s="107"/>
      <c r="B45" s="8" t="s">
        <v>88</v>
      </c>
      <c r="C45" s="103">
        <v>2</v>
      </c>
      <c r="D45" s="103">
        <v>4</v>
      </c>
      <c r="E45" s="103">
        <v>8</v>
      </c>
      <c r="F45" s="13" t="s">
        <v>993</v>
      </c>
      <c r="G45" s="106" t="s">
        <v>47</v>
      </c>
    </row>
    <row r="46" spans="1:7" ht="16.5" x14ac:dyDescent="0.25">
      <c r="A46" s="107"/>
      <c r="B46" s="13" t="s">
        <v>992</v>
      </c>
      <c r="C46" s="104"/>
      <c r="D46" s="104"/>
      <c r="E46" s="104"/>
      <c r="F46" s="13" t="s">
        <v>91</v>
      </c>
      <c r="G46" s="107"/>
    </row>
    <row r="47" spans="1:7" ht="17.25" thickBot="1" x14ac:dyDescent="0.3">
      <c r="A47" s="107"/>
      <c r="B47" s="28" t="s">
        <v>92</v>
      </c>
      <c r="C47" s="105"/>
      <c r="D47" s="105"/>
      <c r="E47" s="105"/>
      <c r="F47" s="25"/>
      <c r="G47" s="108"/>
    </row>
    <row r="48" spans="1:7" ht="16.5" x14ac:dyDescent="0.25">
      <c r="A48" s="107"/>
      <c r="B48" s="8" t="s">
        <v>93</v>
      </c>
      <c r="C48" s="103">
        <v>1</v>
      </c>
      <c r="D48" s="103">
        <v>3</v>
      </c>
      <c r="E48" s="103">
        <v>3</v>
      </c>
      <c r="F48" s="13" t="s">
        <v>996</v>
      </c>
      <c r="G48" s="106" t="s">
        <v>183</v>
      </c>
    </row>
    <row r="49" spans="1:7" ht="16.5" x14ac:dyDescent="0.25">
      <c r="A49" s="107"/>
      <c r="B49" s="13" t="s">
        <v>994</v>
      </c>
      <c r="C49" s="104"/>
      <c r="D49" s="104"/>
      <c r="E49" s="104"/>
      <c r="F49" s="13" t="s">
        <v>97</v>
      </c>
      <c r="G49" s="107"/>
    </row>
    <row r="50" spans="1:7" ht="17.25" thickBot="1" x14ac:dyDescent="0.3">
      <c r="A50" s="108"/>
      <c r="B50" s="28" t="s">
        <v>995</v>
      </c>
      <c r="C50" s="105"/>
      <c r="D50" s="105"/>
      <c r="E50" s="105"/>
      <c r="F50" s="25"/>
      <c r="G50" s="108"/>
    </row>
    <row r="51" spans="1:7" ht="16.5" x14ac:dyDescent="0.25">
      <c r="A51" s="106" t="s">
        <v>184</v>
      </c>
      <c r="B51" s="8" t="s">
        <v>185</v>
      </c>
      <c r="C51" s="103">
        <v>1</v>
      </c>
      <c r="D51" s="103">
        <v>5</v>
      </c>
      <c r="E51" s="103">
        <v>5</v>
      </c>
      <c r="F51" s="19" t="s">
        <v>101</v>
      </c>
      <c r="G51" s="106" t="s">
        <v>102</v>
      </c>
    </row>
    <row r="52" spans="1:7" ht="16.5" x14ac:dyDescent="0.25">
      <c r="A52" s="107"/>
      <c r="B52" s="19" t="s">
        <v>103</v>
      </c>
      <c r="C52" s="104"/>
      <c r="D52" s="104"/>
      <c r="E52" s="104"/>
      <c r="F52" s="19" t="s">
        <v>104</v>
      </c>
      <c r="G52" s="107"/>
    </row>
    <row r="53" spans="1:7" ht="16.5" x14ac:dyDescent="0.25">
      <c r="A53" s="107"/>
      <c r="B53" s="19" t="s">
        <v>105</v>
      </c>
      <c r="C53" s="104"/>
      <c r="D53" s="104"/>
      <c r="E53" s="104"/>
      <c r="F53" s="19" t="s">
        <v>106</v>
      </c>
      <c r="G53" s="107"/>
    </row>
    <row r="54" spans="1:7" ht="16.5" x14ac:dyDescent="0.25">
      <c r="A54" s="107"/>
      <c r="B54" s="19" t="s">
        <v>107</v>
      </c>
      <c r="C54" s="104"/>
      <c r="D54" s="104"/>
      <c r="E54" s="104"/>
      <c r="F54" s="19" t="s">
        <v>108</v>
      </c>
      <c r="G54" s="107"/>
    </row>
    <row r="55" spans="1:7" ht="16.5" x14ac:dyDescent="0.25">
      <c r="A55" s="107"/>
      <c r="B55" s="19" t="s">
        <v>109</v>
      </c>
      <c r="C55" s="104"/>
      <c r="D55" s="104"/>
      <c r="E55" s="104"/>
      <c r="F55" s="19" t="s">
        <v>110</v>
      </c>
      <c r="G55" s="107"/>
    </row>
    <row r="56" spans="1:7" ht="16.5" x14ac:dyDescent="0.25">
      <c r="A56" s="107"/>
      <c r="B56" s="19" t="s">
        <v>111</v>
      </c>
      <c r="C56" s="104"/>
      <c r="D56" s="104"/>
      <c r="E56" s="104"/>
      <c r="F56" s="19" t="s">
        <v>112</v>
      </c>
      <c r="G56" s="107"/>
    </row>
    <row r="57" spans="1:7" ht="16.5" x14ac:dyDescent="0.25">
      <c r="A57" s="107"/>
      <c r="B57" s="19" t="s">
        <v>113</v>
      </c>
      <c r="C57" s="104"/>
      <c r="D57" s="104"/>
      <c r="E57" s="104"/>
      <c r="F57" s="19" t="s">
        <v>114</v>
      </c>
      <c r="G57" s="107"/>
    </row>
    <row r="58" spans="1:7" ht="16.5" x14ac:dyDescent="0.25">
      <c r="A58" s="107"/>
      <c r="B58" s="19" t="s">
        <v>115</v>
      </c>
      <c r="C58" s="104"/>
      <c r="D58" s="104"/>
      <c r="E58" s="104"/>
      <c r="F58" s="19" t="s">
        <v>116</v>
      </c>
      <c r="G58" s="107"/>
    </row>
    <row r="59" spans="1:7" ht="16.5" x14ac:dyDescent="0.25">
      <c r="A59" s="107"/>
      <c r="B59" s="19" t="s">
        <v>117</v>
      </c>
      <c r="C59" s="104"/>
      <c r="D59" s="104"/>
      <c r="E59" s="104"/>
      <c r="F59" s="19" t="s">
        <v>118</v>
      </c>
      <c r="G59" s="107"/>
    </row>
    <row r="60" spans="1:7" ht="16.5" x14ac:dyDescent="0.25">
      <c r="A60" s="107"/>
      <c r="B60" s="19" t="s">
        <v>119</v>
      </c>
      <c r="C60" s="104"/>
      <c r="D60" s="104"/>
      <c r="E60" s="104"/>
      <c r="F60" s="19" t="s">
        <v>120</v>
      </c>
      <c r="G60" s="107"/>
    </row>
    <row r="61" spans="1:7" ht="17.25" thickBot="1" x14ac:dyDescent="0.3">
      <c r="A61" s="108"/>
      <c r="B61" s="25"/>
      <c r="C61" s="105"/>
      <c r="D61" s="105"/>
      <c r="E61" s="105"/>
      <c r="F61" s="31"/>
      <c r="G61" s="108"/>
    </row>
    <row r="62" spans="1:7" ht="17.25" thickBot="1" x14ac:dyDescent="0.3">
      <c r="A62" s="18"/>
      <c r="B62" s="100" t="s">
        <v>121</v>
      </c>
      <c r="C62" s="101"/>
      <c r="D62" s="102"/>
      <c r="E62" s="32">
        <f>SUM(E4:E61)</f>
        <v>67</v>
      </c>
      <c r="F62" s="33"/>
      <c r="G62" s="34"/>
    </row>
  </sheetData>
  <mergeCells count="74">
    <mergeCell ref="B1:B3"/>
    <mergeCell ref="A4:A10"/>
    <mergeCell ref="C4:C7"/>
    <mergeCell ref="D4:D7"/>
    <mergeCell ref="E4:E7"/>
    <mergeCell ref="C8:C10"/>
    <mergeCell ref="D8:D10"/>
    <mergeCell ref="E8:E10"/>
    <mergeCell ref="A11:A12"/>
    <mergeCell ref="C11:C12"/>
    <mergeCell ref="D11:D12"/>
    <mergeCell ref="E11:E12"/>
    <mergeCell ref="A13:A16"/>
    <mergeCell ref="C13:C16"/>
    <mergeCell ref="D13:D16"/>
    <mergeCell ref="E13:E16"/>
    <mergeCell ref="G13:G16"/>
    <mergeCell ref="A17:A18"/>
    <mergeCell ref="C17:C18"/>
    <mergeCell ref="D17:D18"/>
    <mergeCell ref="E17:E18"/>
    <mergeCell ref="F17:F18"/>
    <mergeCell ref="G17:G18"/>
    <mergeCell ref="A22:A28"/>
    <mergeCell ref="C22:C25"/>
    <mergeCell ref="D22:D25"/>
    <mergeCell ref="E22:E25"/>
    <mergeCell ref="G22:G25"/>
    <mergeCell ref="A19:A21"/>
    <mergeCell ref="C19:C21"/>
    <mergeCell ref="D19:D21"/>
    <mergeCell ref="E19:E21"/>
    <mergeCell ref="G19:G21"/>
    <mergeCell ref="G32:G34"/>
    <mergeCell ref="C26:C28"/>
    <mergeCell ref="D26:D28"/>
    <mergeCell ref="E26:E28"/>
    <mergeCell ref="F26:F28"/>
    <mergeCell ref="G26:G28"/>
    <mergeCell ref="C29:C31"/>
    <mergeCell ref="D29:D31"/>
    <mergeCell ref="E29:E31"/>
    <mergeCell ref="G29:G31"/>
    <mergeCell ref="A38:A40"/>
    <mergeCell ref="C38:C40"/>
    <mergeCell ref="D38:D40"/>
    <mergeCell ref="E38:E40"/>
    <mergeCell ref="C32:C34"/>
    <mergeCell ref="D32:D34"/>
    <mergeCell ref="E32:E34"/>
    <mergeCell ref="A29:A37"/>
    <mergeCell ref="E45:E47"/>
    <mergeCell ref="G45:G47"/>
    <mergeCell ref="C48:C50"/>
    <mergeCell ref="C35:C37"/>
    <mergeCell ref="D35:D37"/>
    <mergeCell ref="E35:E37"/>
    <mergeCell ref="G35:G37"/>
    <mergeCell ref="B62:D62"/>
    <mergeCell ref="D48:D50"/>
    <mergeCell ref="E48:E50"/>
    <mergeCell ref="G48:G50"/>
    <mergeCell ref="A51:A61"/>
    <mergeCell ref="C51:C61"/>
    <mergeCell ref="D51:D61"/>
    <mergeCell ref="E51:E61"/>
    <mergeCell ref="G51:G61"/>
    <mergeCell ref="A41:A50"/>
    <mergeCell ref="C41:C44"/>
    <mergeCell ref="D41:D44"/>
    <mergeCell ref="E41:E44"/>
    <mergeCell ref="G41:G44"/>
    <mergeCell ref="C45:C47"/>
    <mergeCell ref="D45:D47"/>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77E71F-3637-4DB5-89D8-943E9873307A}">
  <dimension ref="A1:G65"/>
  <sheetViews>
    <sheetView topLeftCell="A29" zoomScale="70" zoomScaleNormal="70" workbookViewId="0">
      <selection activeCell="E44" sqref="E44:E64"/>
    </sheetView>
  </sheetViews>
  <sheetFormatPr defaultRowHeight="15" x14ac:dyDescent="0.25"/>
  <cols>
    <col min="1" max="1" width="7.28515625" bestFit="1" customWidth="1"/>
    <col min="2" max="2" width="109" customWidth="1"/>
    <col min="3" max="3" width="11.85546875" bestFit="1" customWidth="1"/>
    <col min="4" max="4" width="9.42578125" bestFit="1" customWidth="1"/>
    <col min="5" max="5" width="7.85546875" bestFit="1" customWidth="1"/>
    <col min="6" max="6" width="234.7109375" bestFit="1" customWidth="1"/>
    <col min="7" max="7" width="128.5703125" bestFit="1" customWidth="1"/>
  </cols>
  <sheetData>
    <row r="1" spans="1:7" ht="17.25" x14ac:dyDescent="0.25">
      <c r="A1" s="63" t="s">
        <v>0</v>
      </c>
      <c r="B1" s="184" t="s">
        <v>1</v>
      </c>
      <c r="C1" s="64" t="s">
        <v>2</v>
      </c>
      <c r="D1" s="64" t="s">
        <v>3</v>
      </c>
      <c r="E1" s="64" t="s">
        <v>0</v>
      </c>
      <c r="F1" s="64" t="s">
        <v>4</v>
      </c>
      <c r="G1" s="64" t="s">
        <v>5</v>
      </c>
    </row>
    <row r="2" spans="1:7" ht="17.25" x14ac:dyDescent="0.25">
      <c r="A2" s="65" t="s">
        <v>6</v>
      </c>
      <c r="B2" s="185"/>
      <c r="C2" s="66" t="s">
        <v>7</v>
      </c>
      <c r="D2" s="66" t="s">
        <v>8</v>
      </c>
      <c r="E2" s="66" t="s">
        <v>9</v>
      </c>
      <c r="F2" s="66" t="s">
        <v>10</v>
      </c>
      <c r="G2" s="66" t="s">
        <v>11</v>
      </c>
    </row>
    <row r="3" spans="1:7" ht="18" thickBot="1" x14ac:dyDescent="0.3">
      <c r="A3" s="39"/>
      <c r="B3" s="186"/>
      <c r="C3" s="67" t="s">
        <v>12</v>
      </c>
      <c r="D3" s="67" t="s">
        <v>12</v>
      </c>
      <c r="E3" s="67" t="s">
        <v>13</v>
      </c>
      <c r="F3" s="41"/>
      <c r="G3" s="41"/>
    </row>
    <row r="4" spans="1:7" ht="22.5" x14ac:dyDescent="0.25">
      <c r="A4" s="166" t="s">
        <v>14</v>
      </c>
      <c r="B4" s="68" t="s">
        <v>15</v>
      </c>
      <c r="C4" s="169">
        <v>2</v>
      </c>
      <c r="D4" s="169">
        <v>2</v>
      </c>
      <c r="E4" s="169">
        <v>4</v>
      </c>
      <c r="F4" s="69" t="s">
        <v>631</v>
      </c>
      <c r="G4" s="70" t="s">
        <v>17</v>
      </c>
    </row>
    <row r="5" spans="1:7" ht="22.5" x14ac:dyDescent="0.25">
      <c r="A5" s="167"/>
      <c r="B5" s="68" t="s">
        <v>122</v>
      </c>
      <c r="C5" s="170"/>
      <c r="D5" s="170"/>
      <c r="E5" s="170"/>
      <c r="F5" s="69" t="s">
        <v>632</v>
      </c>
      <c r="G5" s="70" t="s">
        <v>47</v>
      </c>
    </row>
    <row r="6" spans="1:7" ht="22.5" x14ac:dyDescent="0.25">
      <c r="A6" s="167"/>
      <c r="B6" s="49" t="s">
        <v>630</v>
      </c>
      <c r="C6" s="170"/>
      <c r="D6" s="170"/>
      <c r="E6" s="170"/>
      <c r="F6" s="69" t="s">
        <v>633</v>
      </c>
      <c r="G6" s="15"/>
    </row>
    <row r="7" spans="1:7" ht="23.25" thickBot="1" x14ac:dyDescent="0.3">
      <c r="A7" s="167"/>
      <c r="B7" s="17"/>
      <c r="C7" s="179"/>
      <c r="D7" s="179"/>
      <c r="E7" s="179"/>
      <c r="F7" s="71" t="s">
        <v>634</v>
      </c>
      <c r="G7" s="17"/>
    </row>
    <row r="8" spans="1:7" ht="22.5" x14ac:dyDescent="0.25">
      <c r="A8" s="167"/>
      <c r="B8" s="68" t="s">
        <v>127</v>
      </c>
      <c r="C8" s="178">
        <v>2</v>
      </c>
      <c r="D8" s="178">
        <v>5</v>
      </c>
      <c r="E8" s="178">
        <v>10</v>
      </c>
      <c r="F8" s="69" t="s">
        <v>631</v>
      </c>
      <c r="G8" s="70" t="s">
        <v>17</v>
      </c>
    </row>
    <row r="9" spans="1:7" ht="22.5" x14ac:dyDescent="0.25">
      <c r="A9" s="167"/>
      <c r="B9" s="49" t="s">
        <v>635</v>
      </c>
      <c r="C9" s="170"/>
      <c r="D9" s="170"/>
      <c r="E9" s="170"/>
      <c r="F9" s="69" t="s">
        <v>632</v>
      </c>
      <c r="G9" s="70" t="s">
        <v>47</v>
      </c>
    </row>
    <row r="10" spans="1:7" ht="23.25" thickBot="1" x14ac:dyDescent="0.3">
      <c r="A10" s="168"/>
      <c r="B10" s="72"/>
      <c r="C10" s="179"/>
      <c r="D10" s="179"/>
      <c r="E10" s="179"/>
      <c r="F10" s="71" t="s">
        <v>636</v>
      </c>
      <c r="G10" s="17"/>
    </row>
    <row r="11" spans="1:7" ht="17.25" x14ac:dyDescent="0.25">
      <c r="A11" s="166" t="s">
        <v>34</v>
      </c>
      <c r="B11" s="68" t="s">
        <v>35</v>
      </c>
      <c r="C11" s="178">
        <v>1</v>
      </c>
      <c r="D11" s="178">
        <v>3</v>
      </c>
      <c r="E11" s="178">
        <v>3</v>
      </c>
      <c r="F11" s="73" t="s">
        <v>130</v>
      </c>
      <c r="G11" s="180" t="s">
        <v>17</v>
      </c>
    </row>
    <row r="12" spans="1:7" ht="17.25" x14ac:dyDescent="0.25">
      <c r="A12" s="167"/>
      <c r="B12" s="68" t="s">
        <v>37</v>
      </c>
      <c r="C12" s="170"/>
      <c r="D12" s="170"/>
      <c r="E12" s="170"/>
      <c r="F12" s="73" t="s">
        <v>131</v>
      </c>
      <c r="G12" s="167"/>
    </row>
    <row r="13" spans="1:7" ht="18" thickBot="1" x14ac:dyDescent="0.3">
      <c r="A13" s="167"/>
      <c r="B13" s="74" t="s">
        <v>39</v>
      </c>
      <c r="C13" s="179"/>
      <c r="D13" s="179"/>
      <c r="E13" s="179"/>
      <c r="F13" s="17"/>
      <c r="G13" s="181"/>
    </row>
    <row r="14" spans="1:7" ht="17.25" x14ac:dyDescent="0.25">
      <c r="A14" s="167"/>
      <c r="B14" s="68" t="s">
        <v>40</v>
      </c>
      <c r="C14" s="178">
        <v>1</v>
      </c>
      <c r="D14" s="178">
        <v>3</v>
      </c>
      <c r="E14" s="178">
        <v>3</v>
      </c>
      <c r="F14" s="182" t="s">
        <v>637</v>
      </c>
      <c r="G14" s="180" t="s">
        <v>17</v>
      </c>
    </row>
    <row r="15" spans="1:7" ht="18" thickBot="1" x14ac:dyDescent="0.3">
      <c r="A15" s="167"/>
      <c r="B15" s="74" t="s">
        <v>42</v>
      </c>
      <c r="C15" s="179"/>
      <c r="D15" s="179"/>
      <c r="E15" s="179"/>
      <c r="F15" s="183"/>
      <c r="G15" s="181"/>
    </row>
    <row r="16" spans="1:7" ht="17.25" x14ac:dyDescent="0.25">
      <c r="A16" s="167"/>
      <c r="B16" s="68" t="s">
        <v>133</v>
      </c>
      <c r="C16" s="178">
        <v>1</v>
      </c>
      <c r="D16" s="178">
        <v>3</v>
      </c>
      <c r="E16" s="178">
        <v>3</v>
      </c>
      <c r="F16" s="73" t="s">
        <v>639</v>
      </c>
      <c r="G16" s="180" t="s">
        <v>17</v>
      </c>
    </row>
    <row r="17" spans="1:7" ht="17.25" x14ac:dyDescent="0.25">
      <c r="A17" s="167"/>
      <c r="B17" s="49" t="s">
        <v>638</v>
      </c>
      <c r="C17" s="170"/>
      <c r="D17" s="170"/>
      <c r="E17" s="170"/>
      <c r="F17" s="49" t="s">
        <v>640</v>
      </c>
      <c r="G17" s="167"/>
    </row>
    <row r="18" spans="1:7" ht="18" thickBot="1" x14ac:dyDescent="0.3">
      <c r="A18" s="167"/>
      <c r="B18" s="72"/>
      <c r="C18" s="179"/>
      <c r="D18" s="179"/>
      <c r="E18" s="179"/>
      <c r="F18" s="17"/>
      <c r="G18" s="181"/>
    </row>
    <row r="19" spans="1:7" ht="17.25" x14ac:dyDescent="0.25">
      <c r="A19" s="167"/>
      <c r="B19" s="68" t="s">
        <v>137</v>
      </c>
      <c r="C19" s="178">
        <v>1</v>
      </c>
      <c r="D19" s="178">
        <v>4</v>
      </c>
      <c r="E19" s="178">
        <v>4</v>
      </c>
      <c r="F19" s="49" t="s">
        <v>644</v>
      </c>
      <c r="G19" s="180" t="s">
        <v>47</v>
      </c>
    </row>
    <row r="20" spans="1:7" ht="17.25" x14ac:dyDescent="0.25">
      <c r="A20" s="167"/>
      <c r="B20" s="49" t="s">
        <v>641</v>
      </c>
      <c r="C20" s="170"/>
      <c r="D20" s="170"/>
      <c r="E20" s="170"/>
      <c r="F20" s="49" t="s">
        <v>645</v>
      </c>
      <c r="G20" s="167"/>
    </row>
    <row r="21" spans="1:7" ht="17.25" x14ac:dyDescent="0.25">
      <c r="A21" s="167"/>
      <c r="B21" s="49" t="s">
        <v>642</v>
      </c>
      <c r="C21" s="170"/>
      <c r="D21" s="170"/>
      <c r="E21" s="170"/>
      <c r="F21" s="49" t="s">
        <v>646</v>
      </c>
      <c r="G21" s="167"/>
    </row>
    <row r="22" spans="1:7" ht="18" thickBot="1" x14ac:dyDescent="0.3">
      <c r="A22" s="167"/>
      <c r="B22" s="50" t="s">
        <v>643</v>
      </c>
      <c r="C22" s="179"/>
      <c r="D22" s="179"/>
      <c r="E22" s="179"/>
      <c r="F22" s="17"/>
      <c r="G22" s="181"/>
    </row>
    <row r="23" spans="1:7" ht="17.25" x14ac:dyDescent="0.25">
      <c r="A23" s="167"/>
      <c r="B23" s="68" t="s">
        <v>140</v>
      </c>
      <c r="C23" s="178">
        <v>1</v>
      </c>
      <c r="D23" s="178">
        <v>2</v>
      </c>
      <c r="E23" s="178">
        <v>2</v>
      </c>
      <c r="F23" s="49" t="s">
        <v>649</v>
      </c>
      <c r="G23" s="70" t="s">
        <v>17</v>
      </c>
    </row>
    <row r="24" spans="1:7" ht="17.25" x14ac:dyDescent="0.25">
      <c r="A24" s="167"/>
      <c r="B24" s="49" t="s">
        <v>647</v>
      </c>
      <c r="C24" s="170"/>
      <c r="D24" s="170"/>
      <c r="E24" s="170"/>
      <c r="F24" s="49" t="s">
        <v>650</v>
      </c>
      <c r="G24" s="70" t="s">
        <v>47</v>
      </c>
    </row>
    <row r="25" spans="1:7" ht="18" thickBot="1" x14ac:dyDescent="0.3">
      <c r="A25" s="167"/>
      <c r="B25" s="75" t="s">
        <v>648</v>
      </c>
      <c r="C25" s="171"/>
      <c r="D25" s="171"/>
      <c r="E25" s="171"/>
      <c r="F25" s="75" t="s">
        <v>651</v>
      </c>
      <c r="G25" s="25"/>
    </row>
    <row r="26" spans="1:7" ht="17.25" x14ac:dyDescent="0.25">
      <c r="A26" s="167"/>
      <c r="B26" s="68" t="s">
        <v>232</v>
      </c>
      <c r="C26" s="169">
        <v>1</v>
      </c>
      <c r="D26" s="169">
        <v>2</v>
      </c>
      <c r="E26" s="169">
        <v>2</v>
      </c>
      <c r="F26" s="49" t="s">
        <v>654</v>
      </c>
      <c r="G26" s="166" t="s">
        <v>47</v>
      </c>
    </row>
    <row r="27" spans="1:7" ht="17.25" x14ac:dyDescent="0.25">
      <c r="A27" s="167"/>
      <c r="B27" s="49" t="s">
        <v>652</v>
      </c>
      <c r="C27" s="170"/>
      <c r="D27" s="170"/>
      <c r="E27" s="170"/>
      <c r="F27" s="49" t="s">
        <v>655</v>
      </c>
      <c r="G27" s="167"/>
    </row>
    <row r="28" spans="1:7" ht="18" thickBot="1" x14ac:dyDescent="0.3">
      <c r="A28" s="168"/>
      <c r="B28" s="75" t="s">
        <v>653</v>
      </c>
      <c r="C28" s="171"/>
      <c r="D28" s="171"/>
      <c r="E28" s="171"/>
      <c r="F28" s="25"/>
      <c r="G28" s="168"/>
    </row>
    <row r="29" spans="1:7" ht="17.25" x14ac:dyDescent="0.25">
      <c r="A29" s="166" t="s">
        <v>81</v>
      </c>
      <c r="B29" s="68" t="s">
        <v>150</v>
      </c>
      <c r="C29" s="169">
        <v>2</v>
      </c>
      <c r="D29" s="169">
        <v>5</v>
      </c>
      <c r="E29" s="169">
        <v>10</v>
      </c>
      <c r="F29" s="49" t="s">
        <v>657</v>
      </c>
      <c r="G29" s="166" t="s">
        <v>660</v>
      </c>
    </row>
    <row r="30" spans="1:7" ht="17.25" x14ac:dyDescent="0.25">
      <c r="A30" s="167"/>
      <c r="B30" s="68" t="s">
        <v>325</v>
      </c>
      <c r="C30" s="170"/>
      <c r="D30" s="170"/>
      <c r="E30" s="170"/>
      <c r="F30" s="49" t="s">
        <v>658</v>
      </c>
      <c r="G30" s="167"/>
    </row>
    <row r="31" spans="1:7" ht="18" thickBot="1" x14ac:dyDescent="0.3">
      <c r="A31" s="167"/>
      <c r="B31" s="50" t="s">
        <v>656</v>
      </c>
      <c r="C31" s="179"/>
      <c r="D31" s="179"/>
      <c r="E31" s="179"/>
      <c r="F31" s="50" t="s">
        <v>659</v>
      </c>
      <c r="G31" s="181"/>
    </row>
    <row r="32" spans="1:7" ht="17.25" x14ac:dyDescent="0.25">
      <c r="A32" s="167"/>
      <c r="B32" s="68" t="s">
        <v>157</v>
      </c>
      <c r="C32" s="178">
        <v>2</v>
      </c>
      <c r="D32" s="178">
        <v>3</v>
      </c>
      <c r="E32" s="178">
        <v>6</v>
      </c>
      <c r="F32" s="49" t="s">
        <v>662</v>
      </c>
      <c r="G32" s="180" t="s">
        <v>47</v>
      </c>
    </row>
    <row r="33" spans="1:7" ht="18" thickBot="1" x14ac:dyDescent="0.3">
      <c r="A33" s="167"/>
      <c r="B33" s="50" t="s">
        <v>661</v>
      </c>
      <c r="C33" s="179"/>
      <c r="D33" s="179"/>
      <c r="E33" s="179"/>
      <c r="F33" s="50" t="s">
        <v>663</v>
      </c>
      <c r="G33" s="181"/>
    </row>
    <row r="34" spans="1:7" ht="17.25" x14ac:dyDescent="0.25">
      <c r="A34" s="167"/>
      <c r="B34" s="68" t="s">
        <v>598</v>
      </c>
      <c r="C34" s="178">
        <v>1</v>
      </c>
      <c r="D34" s="178">
        <v>4</v>
      </c>
      <c r="E34" s="178">
        <v>4</v>
      </c>
      <c r="F34" s="49" t="s">
        <v>666</v>
      </c>
      <c r="G34" s="180" t="s">
        <v>17</v>
      </c>
    </row>
    <row r="35" spans="1:7" ht="17.25" x14ac:dyDescent="0.25">
      <c r="A35" s="167"/>
      <c r="B35" s="49" t="s">
        <v>664</v>
      </c>
      <c r="C35" s="170"/>
      <c r="D35" s="170"/>
      <c r="E35" s="170"/>
      <c r="F35" s="49" t="s">
        <v>667</v>
      </c>
      <c r="G35" s="167"/>
    </row>
    <row r="36" spans="1:7" ht="18" thickBot="1" x14ac:dyDescent="0.3">
      <c r="A36" s="167"/>
      <c r="B36" s="50" t="s">
        <v>665</v>
      </c>
      <c r="C36" s="179"/>
      <c r="D36" s="179"/>
      <c r="E36" s="179"/>
      <c r="F36" s="50" t="s">
        <v>668</v>
      </c>
      <c r="G36" s="181"/>
    </row>
    <row r="37" spans="1:7" ht="17.25" x14ac:dyDescent="0.25">
      <c r="A37" s="167"/>
      <c r="B37" s="68" t="s">
        <v>432</v>
      </c>
      <c r="C37" s="178">
        <v>1</v>
      </c>
      <c r="D37" s="178">
        <v>4</v>
      </c>
      <c r="E37" s="178">
        <v>4</v>
      </c>
      <c r="F37" s="73" t="s">
        <v>77</v>
      </c>
      <c r="G37" s="180" t="s">
        <v>47</v>
      </c>
    </row>
    <row r="38" spans="1:7" ht="17.25" x14ac:dyDescent="0.25">
      <c r="A38" s="167"/>
      <c r="B38" s="49" t="s">
        <v>669</v>
      </c>
      <c r="C38" s="170"/>
      <c r="D38" s="170"/>
      <c r="E38" s="170"/>
      <c r="F38" s="73" t="s">
        <v>671</v>
      </c>
      <c r="G38" s="167"/>
    </row>
    <row r="39" spans="1:7" ht="18" thickBot="1" x14ac:dyDescent="0.3">
      <c r="A39" s="168"/>
      <c r="B39" s="50" t="s">
        <v>670</v>
      </c>
      <c r="C39" s="179"/>
      <c r="D39" s="179"/>
      <c r="E39" s="179"/>
      <c r="F39" s="17"/>
      <c r="G39" s="181"/>
    </row>
    <row r="40" spans="1:7" ht="17.25" x14ac:dyDescent="0.25">
      <c r="A40" s="175"/>
      <c r="B40" s="68" t="s">
        <v>606</v>
      </c>
      <c r="C40" s="178">
        <v>3</v>
      </c>
      <c r="D40" s="178">
        <v>4</v>
      </c>
      <c r="E40" s="178">
        <v>12</v>
      </c>
      <c r="F40" s="73" t="s">
        <v>611</v>
      </c>
      <c r="G40" s="180" t="s">
        <v>47</v>
      </c>
    </row>
    <row r="41" spans="1:7" ht="17.25" x14ac:dyDescent="0.25">
      <c r="A41" s="176"/>
      <c r="B41" s="49" t="s">
        <v>672</v>
      </c>
      <c r="C41" s="170"/>
      <c r="D41" s="170"/>
      <c r="E41" s="170"/>
      <c r="F41" s="73" t="s">
        <v>612</v>
      </c>
      <c r="G41" s="167"/>
    </row>
    <row r="42" spans="1:7" ht="17.25" x14ac:dyDescent="0.25">
      <c r="A42" s="176"/>
      <c r="B42" s="49" t="s">
        <v>673</v>
      </c>
      <c r="C42" s="170"/>
      <c r="D42" s="170"/>
      <c r="E42" s="170"/>
      <c r="F42" s="73" t="s">
        <v>613</v>
      </c>
      <c r="G42" s="167"/>
    </row>
    <row r="43" spans="1:7" ht="18" thickBot="1" x14ac:dyDescent="0.3">
      <c r="A43" s="177"/>
      <c r="B43" s="50" t="s">
        <v>674</v>
      </c>
      <c r="C43" s="179"/>
      <c r="D43" s="179"/>
      <c r="E43" s="179"/>
      <c r="F43" s="77" t="s">
        <v>675</v>
      </c>
      <c r="G43" s="181"/>
    </row>
    <row r="44" spans="1:7" ht="17.25" x14ac:dyDescent="0.25">
      <c r="A44" s="166" t="s">
        <v>173</v>
      </c>
      <c r="B44" s="68" t="s">
        <v>174</v>
      </c>
      <c r="C44" s="178">
        <v>1</v>
      </c>
      <c r="D44" s="178">
        <v>2</v>
      </c>
      <c r="E44" s="178">
        <v>2</v>
      </c>
      <c r="F44" s="49" t="s">
        <v>678</v>
      </c>
      <c r="G44" s="180" t="s">
        <v>47</v>
      </c>
    </row>
    <row r="45" spans="1:7" ht="17.25" x14ac:dyDescent="0.25">
      <c r="A45" s="167"/>
      <c r="B45" s="68" t="s">
        <v>84</v>
      </c>
      <c r="C45" s="170"/>
      <c r="D45" s="170"/>
      <c r="E45" s="170"/>
      <c r="F45" s="49" t="s">
        <v>679</v>
      </c>
      <c r="G45" s="167"/>
    </row>
    <row r="46" spans="1:7" ht="17.25" x14ac:dyDescent="0.25">
      <c r="A46" s="167"/>
      <c r="B46" s="49" t="s">
        <v>676</v>
      </c>
      <c r="C46" s="170"/>
      <c r="D46" s="170"/>
      <c r="E46" s="170"/>
      <c r="F46" s="73"/>
      <c r="G46" s="167"/>
    </row>
    <row r="47" spans="1:7" ht="18" thickBot="1" x14ac:dyDescent="0.3">
      <c r="A47" s="167"/>
      <c r="B47" s="75" t="s">
        <v>677</v>
      </c>
      <c r="C47" s="171"/>
      <c r="D47" s="171"/>
      <c r="E47" s="171"/>
      <c r="F47" s="25"/>
      <c r="G47" s="168"/>
    </row>
    <row r="48" spans="1:7" ht="17.25" x14ac:dyDescent="0.25">
      <c r="A48" s="167"/>
      <c r="B48" s="68" t="s">
        <v>88</v>
      </c>
      <c r="C48" s="169">
        <v>1</v>
      </c>
      <c r="D48" s="169">
        <v>2</v>
      </c>
      <c r="E48" s="169">
        <v>2</v>
      </c>
      <c r="F48" s="49" t="s">
        <v>682</v>
      </c>
      <c r="G48" s="166" t="s">
        <v>47</v>
      </c>
    </row>
    <row r="49" spans="1:7" ht="17.25" x14ac:dyDescent="0.25">
      <c r="A49" s="167"/>
      <c r="B49" s="49" t="s">
        <v>680</v>
      </c>
      <c r="C49" s="170"/>
      <c r="D49" s="170"/>
      <c r="E49" s="170"/>
      <c r="F49" s="49" t="s">
        <v>683</v>
      </c>
      <c r="G49" s="167"/>
    </row>
    <row r="50" spans="1:7" ht="18" thickBot="1" x14ac:dyDescent="0.3">
      <c r="A50" s="167"/>
      <c r="B50" s="75" t="s">
        <v>681</v>
      </c>
      <c r="C50" s="171"/>
      <c r="D50" s="171"/>
      <c r="E50" s="171"/>
      <c r="F50" s="25"/>
      <c r="G50" s="168"/>
    </row>
    <row r="51" spans="1:7" ht="17.25" x14ac:dyDescent="0.25">
      <c r="A51" s="167"/>
      <c r="B51" s="68" t="s">
        <v>93</v>
      </c>
      <c r="C51" s="169">
        <v>1</v>
      </c>
      <c r="D51" s="169">
        <v>4</v>
      </c>
      <c r="E51" s="169">
        <v>4</v>
      </c>
      <c r="F51" s="49" t="s">
        <v>686</v>
      </c>
      <c r="G51" s="166" t="s">
        <v>183</v>
      </c>
    </row>
    <row r="52" spans="1:7" ht="17.25" x14ac:dyDescent="0.25">
      <c r="A52" s="167"/>
      <c r="B52" s="49" t="s">
        <v>684</v>
      </c>
      <c r="C52" s="170"/>
      <c r="D52" s="170"/>
      <c r="E52" s="170"/>
      <c r="F52" s="49" t="s">
        <v>687</v>
      </c>
      <c r="G52" s="167"/>
    </row>
    <row r="53" spans="1:7" ht="18" thickBot="1" x14ac:dyDescent="0.3">
      <c r="A53" s="168"/>
      <c r="B53" s="75" t="s">
        <v>685</v>
      </c>
      <c r="C53" s="171"/>
      <c r="D53" s="171"/>
      <c r="E53" s="171"/>
      <c r="F53" s="25"/>
      <c r="G53" s="168"/>
    </row>
    <row r="54" spans="1:7" ht="17.25" x14ac:dyDescent="0.25">
      <c r="A54" s="166" t="s">
        <v>184</v>
      </c>
      <c r="B54" s="68" t="s">
        <v>185</v>
      </c>
      <c r="C54" s="169">
        <v>1</v>
      </c>
      <c r="D54" s="169">
        <v>5</v>
      </c>
      <c r="E54" s="169">
        <v>5</v>
      </c>
      <c r="F54" s="73" t="s">
        <v>697</v>
      </c>
      <c r="G54" s="166" t="s">
        <v>102</v>
      </c>
    </row>
    <row r="55" spans="1:7" ht="17.25" x14ac:dyDescent="0.25">
      <c r="A55" s="167"/>
      <c r="B55" s="73" t="s">
        <v>688</v>
      </c>
      <c r="C55" s="170"/>
      <c r="D55" s="170"/>
      <c r="E55" s="170"/>
      <c r="F55" s="73" t="s">
        <v>698</v>
      </c>
      <c r="G55" s="167"/>
    </row>
    <row r="56" spans="1:7" ht="17.25" x14ac:dyDescent="0.25">
      <c r="A56" s="167"/>
      <c r="B56" s="73" t="s">
        <v>689</v>
      </c>
      <c r="C56" s="170"/>
      <c r="D56" s="170"/>
      <c r="E56" s="170"/>
      <c r="F56" s="73" t="s">
        <v>699</v>
      </c>
      <c r="G56" s="167"/>
    </row>
    <row r="57" spans="1:7" ht="17.25" x14ac:dyDescent="0.25">
      <c r="A57" s="167"/>
      <c r="B57" s="73" t="s">
        <v>690</v>
      </c>
      <c r="C57" s="170"/>
      <c r="D57" s="170"/>
      <c r="E57" s="170"/>
      <c r="F57" s="73" t="s">
        <v>700</v>
      </c>
      <c r="G57" s="167"/>
    </row>
    <row r="58" spans="1:7" ht="17.25" x14ac:dyDescent="0.25">
      <c r="A58" s="167"/>
      <c r="B58" s="73" t="s">
        <v>691</v>
      </c>
      <c r="C58" s="170"/>
      <c r="D58" s="170"/>
      <c r="E58" s="170"/>
      <c r="F58" s="73" t="s">
        <v>701</v>
      </c>
      <c r="G58" s="167"/>
    </row>
    <row r="59" spans="1:7" ht="17.25" x14ac:dyDescent="0.25">
      <c r="A59" s="167"/>
      <c r="B59" s="73" t="s">
        <v>692</v>
      </c>
      <c r="C59" s="170"/>
      <c r="D59" s="170"/>
      <c r="E59" s="170"/>
      <c r="F59" s="73" t="s">
        <v>702</v>
      </c>
      <c r="G59" s="167"/>
    </row>
    <row r="60" spans="1:7" ht="17.25" x14ac:dyDescent="0.25">
      <c r="A60" s="167"/>
      <c r="B60" s="73" t="s">
        <v>693</v>
      </c>
      <c r="C60" s="170"/>
      <c r="D60" s="170"/>
      <c r="E60" s="170"/>
      <c r="F60" s="73" t="s">
        <v>703</v>
      </c>
      <c r="G60" s="167"/>
    </row>
    <row r="61" spans="1:7" ht="17.25" x14ac:dyDescent="0.25">
      <c r="A61" s="167"/>
      <c r="B61" s="73" t="s">
        <v>694</v>
      </c>
      <c r="C61" s="170"/>
      <c r="D61" s="170"/>
      <c r="E61" s="170"/>
      <c r="F61" s="73" t="s">
        <v>704</v>
      </c>
      <c r="G61" s="167"/>
    </row>
    <row r="62" spans="1:7" ht="17.25" x14ac:dyDescent="0.25">
      <c r="A62" s="167"/>
      <c r="B62" s="73" t="s">
        <v>695</v>
      </c>
      <c r="C62" s="170"/>
      <c r="D62" s="170"/>
      <c r="E62" s="170"/>
      <c r="F62" s="73" t="s">
        <v>705</v>
      </c>
      <c r="G62" s="167"/>
    </row>
    <row r="63" spans="1:7" ht="17.25" x14ac:dyDescent="0.25">
      <c r="A63" s="167"/>
      <c r="B63" s="73" t="s">
        <v>696</v>
      </c>
      <c r="C63" s="170"/>
      <c r="D63" s="170"/>
      <c r="E63" s="170"/>
      <c r="F63" s="73" t="s">
        <v>706</v>
      </c>
      <c r="G63" s="167"/>
    </row>
    <row r="64" spans="1:7" ht="18" thickBot="1" x14ac:dyDescent="0.3">
      <c r="A64" s="168"/>
      <c r="B64" s="25"/>
      <c r="C64" s="171"/>
      <c r="D64" s="171"/>
      <c r="E64" s="171"/>
      <c r="F64" s="78"/>
      <c r="G64" s="168"/>
    </row>
    <row r="65" spans="1:7" ht="18" thickBot="1" x14ac:dyDescent="0.3">
      <c r="A65" s="76"/>
      <c r="B65" s="172" t="s">
        <v>121</v>
      </c>
      <c r="C65" s="173"/>
      <c r="D65" s="174"/>
      <c r="E65" s="79">
        <f>SUM(E4:E64)</f>
        <v>80</v>
      </c>
      <c r="F65" s="80"/>
      <c r="G65" s="81"/>
    </row>
  </sheetData>
  <mergeCells count="74">
    <mergeCell ref="A4:A10"/>
    <mergeCell ref="C4:C7"/>
    <mergeCell ref="D4:D7"/>
    <mergeCell ref="E4:E7"/>
    <mergeCell ref="C8:C10"/>
    <mergeCell ref="D8:D10"/>
    <mergeCell ref="E8:E10"/>
    <mergeCell ref="D14:D15"/>
    <mergeCell ref="E14:E15"/>
    <mergeCell ref="F14:F15"/>
    <mergeCell ref="G14:G15"/>
    <mergeCell ref="B1:B3"/>
    <mergeCell ref="C16:C18"/>
    <mergeCell ref="D16:D18"/>
    <mergeCell ref="E16:E18"/>
    <mergeCell ref="G16:G18"/>
    <mergeCell ref="C19:C22"/>
    <mergeCell ref="D19:D22"/>
    <mergeCell ref="E19:E22"/>
    <mergeCell ref="G19:G22"/>
    <mergeCell ref="C23:C25"/>
    <mergeCell ref="D23:D25"/>
    <mergeCell ref="E23:E25"/>
    <mergeCell ref="C26:C28"/>
    <mergeCell ref="D26:D28"/>
    <mergeCell ref="E26:E28"/>
    <mergeCell ref="G26:G28"/>
    <mergeCell ref="A29:A39"/>
    <mergeCell ref="C29:C31"/>
    <mergeCell ref="D29:D31"/>
    <mergeCell ref="E29:E31"/>
    <mergeCell ref="G29:G31"/>
    <mergeCell ref="C32:C33"/>
    <mergeCell ref="D32:D33"/>
    <mergeCell ref="E32:E33"/>
    <mergeCell ref="G32:G33"/>
    <mergeCell ref="A11:A28"/>
    <mergeCell ref="C11:C13"/>
    <mergeCell ref="D11:D13"/>
    <mergeCell ref="E11:E13"/>
    <mergeCell ref="G11:G13"/>
    <mergeCell ref="C14:C15"/>
    <mergeCell ref="C34:C36"/>
    <mergeCell ref="D34:D36"/>
    <mergeCell ref="E34:E36"/>
    <mergeCell ref="G34:G36"/>
    <mergeCell ref="C37:C39"/>
    <mergeCell ref="D37:D39"/>
    <mergeCell ref="E37:E39"/>
    <mergeCell ref="G37:G39"/>
    <mergeCell ref="A44:A53"/>
    <mergeCell ref="C44:C47"/>
    <mergeCell ref="D44:D47"/>
    <mergeCell ref="E44:E47"/>
    <mergeCell ref="G44:G47"/>
    <mergeCell ref="A40:A43"/>
    <mergeCell ref="C40:C43"/>
    <mergeCell ref="D40:D43"/>
    <mergeCell ref="E40:E43"/>
    <mergeCell ref="G40:G43"/>
    <mergeCell ref="B65:D65"/>
    <mergeCell ref="C48:C50"/>
    <mergeCell ref="D48:D50"/>
    <mergeCell ref="E48:E50"/>
    <mergeCell ref="G48:G50"/>
    <mergeCell ref="C51:C53"/>
    <mergeCell ref="D51:D53"/>
    <mergeCell ref="E51:E53"/>
    <mergeCell ref="G51:G53"/>
    <mergeCell ref="A54:A64"/>
    <mergeCell ref="C54:C64"/>
    <mergeCell ref="D54:D64"/>
    <mergeCell ref="E54:E64"/>
    <mergeCell ref="G54:G6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19</vt:i4>
      </vt:variant>
      <vt:variant>
        <vt:lpstr>Named Ranges</vt:lpstr>
      </vt:variant>
      <vt:variant>
        <vt:i4>5</vt:i4>
      </vt:variant>
    </vt:vector>
  </HeadingPairs>
  <TitlesOfParts>
    <vt:vector size="24" baseType="lpstr">
      <vt:lpstr>Traffic Signal</vt:lpstr>
      <vt:lpstr>Crash Cushion</vt:lpstr>
      <vt:lpstr>Road Marking</vt:lpstr>
      <vt:lpstr>road studs</vt:lpstr>
      <vt:lpstr>Road Gantry</vt:lpstr>
      <vt:lpstr>Pedestrian Crossing</vt:lpstr>
      <vt:lpstr>Pavement</vt:lpstr>
      <vt:lpstr>Curbstone</vt:lpstr>
      <vt:lpstr>Fence</vt:lpstr>
      <vt:lpstr>Footpath</vt:lpstr>
      <vt:lpstr>Road Hump</vt:lpstr>
      <vt:lpstr>manhole</vt:lpstr>
      <vt:lpstr>gully</vt:lpstr>
      <vt:lpstr>roadside drainage</vt:lpstr>
      <vt:lpstr>guard rail</vt:lpstr>
      <vt:lpstr>barrier</vt:lpstr>
      <vt:lpstr>Control Cabinet</vt:lpstr>
      <vt:lpstr>Landscape</vt:lpstr>
      <vt:lpstr>Roadside Camera</vt:lpstr>
      <vt:lpstr>'Road Marking'!_Hlk160971531</vt:lpstr>
      <vt:lpstr>'Road Marking'!_Hlk160971662</vt:lpstr>
      <vt:lpstr>Fence!OLE_LINK1</vt:lpstr>
      <vt:lpstr>Curbstone!OLE_LINK2</vt:lpstr>
      <vt:lpstr>Curbstone!OLE_LINK4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g206</dc:creator>
  <cp:lastModifiedBy>g206</cp:lastModifiedBy>
  <dcterms:created xsi:type="dcterms:W3CDTF">2026-03-03T08:55:58Z</dcterms:created>
  <dcterms:modified xsi:type="dcterms:W3CDTF">2026-03-11T08:41:00Z</dcterms:modified>
</cp:coreProperties>
</file>